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F1B04B5A-1008-4909-ACEC-D2CAFEED1FF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ício" sheetId="1" r:id="rId1"/>
    <sheet name="Diário" sheetId="2" r:id="rId2"/>
    <sheet name="Painel" sheetId="3" r:id="rId3"/>
    <sheet name="Tabelas" sheetId="4" r:id="rId4"/>
    <sheet name="Listas" sheetId="5" r:id="rId5"/>
  </sheets>
  <definedNames>
    <definedName name="_xlnm.Print_Area" localSheetId="1">Diário!$B$1:$O$29</definedName>
    <definedName name="_xlnm.Print_Area" localSheetId="0">Início!$B$1:$O$41</definedName>
    <definedName name="_xlnm.Print_Area" localSheetId="2">Painel!$B$1:$O$55</definedName>
    <definedName name="_xlnm.Print_Titles" localSheetId="1">Diário!$3:$4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0" i="4" l="1"/>
  <c r="B39" i="4"/>
  <c r="B38" i="4"/>
  <c r="B37" i="4"/>
  <c r="B36" i="4"/>
  <c r="B35" i="4"/>
  <c r="B34" i="4"/>
  <c r="B33" i="4"/>
  <c r="B32" i="4"/>
  <c r="B31" i="4"/>
  <c r="B30" i="4"/>
  <c r="B29" i="4"/>
  <c r="B26" i="4"/>
  <c r="B25" i="4"/>
  <c r="B24" i="4"/>
  <c r="B23" i="4"/>
  <c r="B20" i="4"/>
  <c r="B19" i="4"/>
  <c r="B18" i="4"/>
  <c r="B17" i="4"/>
  <c r="E13" i="4"/>
  <c r="D13" i="4"/>
  <c r="C13" i="4"/>
  <c r="E12" i="4"/>
  <c r="D12" i="4"/>
  <c r="C12" i="4"/>
  <c r="C9" i="4"/>
  <c r="F11" i="3" s="1"/>
  <c r="C8" i="4"/>
  <c r="C11" i="3" s="1"/>
  <c r="C7" i="4"/>
  <c r="I7" i="3" s="1"/>
  <c r="C6" i="4"/>
  <c r="F7" i="3" s="1"/>
  <c r="C5" i="4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E40" i="4" l="1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C31" i="4"/>
  <c r="E31" i="4"/>
  <c r="D31" i="4"/>
  <c r="E30" i="4"/>
  <c r="D30" i="4"/>
  <c r="C30" i="4"/>
  <c r="E29" i="4"/>
  <c r="D29" i="4"/>
  <c r="C29" i="4"/>
  <c r="D26" i="4"/>
  <c r="C26" i="4"/>
  <c r="D25" i="4"/>
  <c r="C25" i="4"/>
  <c r="D24" i="4"/>
  <c r="C24" i="4"/>
  <c r="D23" i="4"/>
  <c r="C23" i="4"/>
  <c r="D20" i="4"/>
  <c r="C20" i="4"/>
  <c r="D19" i="4"/>
  <c r="C19" i="4"/>
  <c r="D18" i="4"/>
  <c r="C18" i="4"/>
  <c r="D17" i="4"/>
  <c r="C17" i="4"/>
  <c r="D16" i="3"/>
  <c r="L11" i="3"/>
  <c r="D15" i="3"/>
  <c r="I11" i="3"/>
  <c r="L7" i="3"/>
  <c r="D17" i="3"/>
  <c r="C7" i="3"/>
  <c r="D18" i="3" l="1"/>
</calcChain>
</file>

<file path=xl/sharedStrings.xml><?xml version="1.0" encoding="utf-8"?>
<sst xmlns="http://schemas.openxmlformats.org/spreadsheetml/2006/main" count="163" uniqueCount="127">
  <si>
    <t>A ESTRATÉGIA QUE MUDOU A MINHA VIDA · TRADER BRUNO BORGES</t>
  </si>
  <si>
    <t>Diário de Execução 40P</t>
  </si>
  <si>
    <t>Registre cada operação. Entenda seus padrões. Evolua com método.</t>
  </si>
  <si>
    <t>Como usar em 4 passos</t>
  </si>
  <si>
    <t>1 · Registre</t>
  </si>
  <si>
    <t>2 · Escolha</t>
  </si>
  <si>
    <t>3 · Revise</t>
  </si>
  <si>
    <t>4 · Evolua</t>
  </si>
  <si>
    <t>Depois de cada operação, preencha uma linha na aba Diário.</t>
  </si>
  <si>
    <t>Use as listas suspensas e escreva o resultado em pontos.</t>
  </si>
  <si>
    <t>Anote o erro cometido e o que pode fazer diferente.</t>
  </si>
  <si>
    <t>Veja seus padrões na aba Painel, atualizada sozinha.</t>
  </si>
  <si>
    <t>As 6 etapas do Mapa de Decisão 40P</t>
  </si>
  <si>
    <t>1 · Cenário</t>
  </si>
  <si>
    <t>2 · Plataforma</t>
  </si>
  <si>
    <t>3 · Gatilho</t>
  </si>
  <si>
    <t>4 · Gestão</t>
  </si>
  <si>
    <t>5 · Saída</t>
  </si>
  <si>
    <t>6 · Revisão</t>
  </si>
  <si>
    <t>O preço está em tendência e onde estão as regiões?</t>
  </si>
  <si>
    <t>Está tudo configurado no Profit?</t>
  </si>
  <si>
    <t>O preço voltou à região de 50% a favor da tendência?</t>
  </si>
  <si>
    <t>A parcial foi executada?</t>
  </si>
  <si>
    <t>A tendência continua a favor?</t>
  </si>
  <si>
    <t>O que essa operação ensinou?</t>
  </si>
  <si>
    <t>Exemplo de preenchimento (valores ilustrativos)</t>
  </si>
  <si>
    <t>Campo</t>
  </si>
  <si>
    <t>Como preencher</t>
  </si>
  <si>
    <t>Exemplo</t>
  </si>
  <si>
    <t>Data</t>
  </si>
  <si>
    <t>Dia da operação.</t>
  </si>
  <si>
    <t>14/10/2026</t>
  </si>
  <si>
    <t>Hora</t>
  </si>
  <si>
    <t>Horário da entrada.</t>
  </si>
  <si>
    <t>10:15</t>
  </si>
  <si>
    <t>Compra ou venda</t>
  </si>
  <si>
    <t>Sentido da operação.</t>
  </si>
  <si>
    <t>Compra</t>
  </si>
  <si>
    <t>Contratos</t>
  </si>
  <si>
    <t>Mínimo de 5.</t>
  </si>
  <si>
    <t>Tendência definida?</t>
  </si>
  <si>
    <t>Você conseguiu apontar o topo ou fundo que define a tendência?</t>
  </si>
  <si>
    <t>Sim</t>
  </si>
  <si>
    <t>Motivo da entrada</t>
  </si>
  <si>
    <t>Qual gatilho levou à entrada.</t>
  </si>
  <si>
    <t>Pullback</t>
  </si>
  <si>
    <t>Stop e alvo definidos antes?</t>
  </si>
  <si>
    <t>Stop e alvo estavam definidos antes da entrada?</t>
  </si>
  <si>
    <t>Tipo de saída</t>
  </si>
  <si>
    <t>Como a operação terminou.</t>
  </si>
  <si>
    <t>Alvo final</t>
  </si>
  <si>
    <t>Resultado (pontos)</t>
  </si>
  <si>
    <t>Pontos totais da operação. Perda com sinal de menos.</t>
  </si>
  <si>
    <t>Emoção ao entrar</t>
  </si>
  <si>
    <t>Escolha na lista.</t>
  </si>
  <si>
    <t>Confiante</t>
  </si>
  <si>
    <t>Emoção ao sair</t>
  </si>
  <si>
    <t>Calmo</t>
  </si>
  <si>
    <t>Erro cometido</t>
  </si>
  <si>
    <t>Em uma frase. Deixe em branco se não houve.</t>
  </si>
  <si>
    <t>Nenhum</t>
  </si>
  <si>
    <t>O que posso fazer diferente?</t>
  </si>
  <si>
    <t>Esperar a região de 50%</t>
  </si>
  <si>
    <t>As listas de emoções, motivos e saídas podem ser editadas na aba Listas. A lista de emoções é uma sugestão inicial.</t>
  </si>
  <si>
    <t>Material educacional. Não é recomendação de compra ou venda de ativos nem promessa de resultado; operar no mercado financeiro envolve risco de perda.</t>
  </si>
  <si>
    <t>Operação</t>
  </si>
  <si>
    <t>Nº</t>
  </si>
  <si>
    <t>Painel</t>
  </si>
  <si>
    <t>Seus números e padrões, atualizados sozinhos a cada linha do Diário</t>
  </si>
  <si>
    <t>OPERAÇÕES REGISTRADAS</t>
  </si>
  <si>
    <t>RESULTADO TOTAL (PONTOS)</t>
  </si>
  <si>
    <t>MÉDIA POR OPERAÇÃO (PONTOS)</t>
  </si>
  <si>
    <t>OPERAÇÕES POSITIVAS</t>
  </si>
  <si>
    <t>RESULTADO POSITIVO (Nº)</t>
  </si>
  <si>
    <t>RESULTADO NEGATIVO (Nº)</t>
  </si>
  <si>
    <t>MELHOR OPERAÇÃO (PONTOS)</t>
  </si>
  <si>
    <t>PIOR OPERAÇÃO (PONTOS)</t>
  </si>
  <si>
    <t>Leitura do painel</t>
  </si>
  <si>
    <t>▸</t>
  </si>
  <si>
    <t>Gráficos</t>
  </si>
  <si>
    <t>Tabelas de apoio</t>
  </si>
  <si>
    <t>Calculadas sozinhas a partir do Diário. Alimentam o Painel. Não digite nada aqui.</t>
  </si>
  <si>
    <t>Visão geral</t>
  </si>
  <si>
    <t>Operações registradas</t>
  </si>
  <si>
    <t>Resultado total (pontos)</t>
  </si>
  <si>
    <t>Resultado médio por operação (pontos)</t>
  </si>
  <si>
    <t>Operações com resultado positivo</t>
  </si>
  <si>
    <t>Operações com resultado negativo</t>
  </si>
  <si>
    <t>Regras do mapa</t>
  </si>
  <si>
    <t>% de "Sim"</t>
  </si>
  <si>
    <t>Média se "Sim"</t>
  </si>
  <si>
    <t>Média se "Não"</t>
  </si>
  <si>
    <t>1 · Tendência definida?</t>
  </si>
  <si>
    <t>3 · Stop e alvo definidos antes?</t>
  </si>
  <si>
    <t>Médias em pontos por operação.</t>
  </si>
  <si>
    <t>Operações</t>
  </si>
  <si>
    <t>Pontos totais</t>
  </si>
  <si>
    <t>Como as operações terminaram</t>
  </si>
  <si>
    <t>Emoções</t>
  </si>
  <si>
    <t>Ao entrar</t>
  </si>
  <si>
    <t>Ao sair</t>
  </si>
  <si>
    <t>Média (pts) ao entrar</t>
  </si>
  <si>
    <t>Listas editáveis</t>
  </si>
  <si>
    <t>Edite os textos abaixo e as listas suspensas do Diário e as contagens do Painel acompanham. Não apague linhas.</t>
  </si>
  <si>
    <t>Motivos de entrada</t>
  </si>
  <si>
    <t>Tipos de saída</t>
  </si>
  <si>
    <t>Ponto de parada</t>
  </si>
  <si>
    <t>Stop</t>
  </si>
  <si>
    <t>Focado</t>
  </si>
  <si>
    <t>Negação</t>
  </si>
  <si>
    <t>Primeiro alvo (tendência contra)</t>
  </si>
  <si>
    <t>Ansioso</t>
  </si>
  <si>
    <t>Rompimento sem teste</t>
  </si>
  <si>
    <t>Saída manual</t>
  </si>
  <si>
    <t>Impaciente</t>
  </si>
  <si>
    <t>Com medo</t>
  </si>
  <si>
    <t>Ganancioso</t>
  </si>
  <si>
    <t>Eufórico</t>
  </si>
  <si>
    <t>Frustrado</t>
  </si>
  <si>
    <t>Irritado</t>
  </si>
  <si>
    <t>Indiferente</t>
  </si>
  <si>
    <t>Outra</t>
  </si>
  <si>
    <t>Qual ajuste operacional ou emocional devo fazer para a próxima operação.</t>
  </si>
  <si>
    <t>Cenário</t>
  </si>
  <si>
    <t>Saída</t>
  </si>
  <si>
    <t>Sem erros cometidos</t>
  </si>
  <si>
    <t>Sem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</si>
</sst>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;\-0;0"/>
    <numFmt numFmtId="165" formatCode="\+0.0;\-0.0;0.0"/>
  </numFmts>
  <fonts count="34" x14ac:knownFonts="1">
    <font>
      <sz val="11"/>
      <color theme="1"/>
      <name val="Calibri"/>
      <family val="2"/>
      <charset val="1"/>
    </font>
    <font>
      <b/>
      <sz val="9"/>
      <color rgb="FFA2CB10"/>
      <name val="Arial"/>
      <charset val="1"/>
    </font>
    <font>
      <b/>
      <sz val="34"/>
      <color rgb="FFFFFFFF"/>
      <name val="Georgia"/>
      <charset val="1"/>
    </font>
    <font>
      <sz val="13"/>
      <color rgb="FFEFF6D9"/>
      <name val="Arial"/>
      <charset val="1"/>
    </font>
    <font>
      <b/>
      <sz val="15"/>
      <color rgb="FF174833"/>
      <name val="Georgia"/>
      <charset val="1"/>
    </font>
    <font>
      <b/>
      <sz val="13"/>
      <color rgb="FFFFFFFF"/>
      <name val="Georgia"/>
      <charset val="1"/>
    </font>
    <font>
      <b/>
      <sz val="13"/>
      <color rgb="FF0C0D0E"/>
      <name val="Georgia"/>
      <charset val="1"/>
    </font>
    <font>
      <sz val="11"/>
      <name val="Arial"/>
      <charset val="1"/>
    </font>
    <font>
      <b/>
      <sz val="11"/>
      <color rgb="FFFFFFFF"/>
      <name val="Georgia"/>
      <charset val="1"/>
    </font>
    <font>
      <b/>
      <sz val="11"/>
      <color rgb="FF0C0D0E"/>
      <name val="Georgia"/>
      <charset val="1"/>
    </font>
    <font>
      <sz val="10"/>
      <color rgb="FF0C0D0E"/>
      <name val="Georgia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354604"/>
      <name val="Arial"/>
      <charset val="1"/>
    </font>
    <font>
      <i/>
      <sz val="9"/>
      <color rgb="FF6E6D6B"/>
      <name val="Arial"/>
      <charset val="1"/>
    </font>
    <font>
      <sz val="10"/>
      <color rgb="FFEFF6D9"/>
      <name val="Arial"/>
      <charset val="1"/>
    </font>
    <font>
      <b/>
      <sz val="11"/>
      <color rgb="FFFFFFFF"/>
      <name val="Arial"/>
      <charset val="1"/>
    </font>
    <font>
      <sz val="10"/>
      <color rgb="FF6E6D6B"/>
      <name val="Arial"/>
      <charset val="1"/>
    </font>
    <font>
      <b/>
      <sz val="11"/>
      <name val="Arial"/>
      <charset val="1"/>
    </font>
    <font>
      <b/>
      <sz val="26"/>
      <color rgb="FFFFFFFF"/>
      <name val="Georgia"/>
      <charset val="1"/>
    </font>
    <font>
      <b/>
      <sz val="8"/>
      <color rgb="FF6E6D6B"/>
      <name val="Arial"/>
      <charset val="1"/>
    </font>
    <font>
      <b/>
      <sz val="26"/>
      <color rgb="FF174833"/>
      <name val="Georgia"/>
      <charset val="1"/>
    </font>
    <font>
      <b/>
      <sz val="14"/>
      <color rgb="FF174833"/>
      <name val="Georgia"/>
      <charset val="1"/>
    </font>
    <font>
      <b/>
      <sz val="12"/>
      <color rgb="FF8BAE0B"/>
      <name val="Arial"/>
      <charset val="1"/>
    </font>
    <font>
      <i/>
      <sz val="8"/>
      <color rgb="FF6E6D6B"/>
      <name val="Arial"/>
      <charset val="1"/>
    </font>
    <font>
      <b/>
      <sz val="18"/>
      <color rgb="FFFFFFFF"/>
      <name val="Georgia"/>
      <charset val="1"/>
    </font>
    <font>
      <i/>
      <sz val="10"/>
      <color rgb="FF6E6D6B"/>
      <name val="Arial"/>
      <charset val="1"/>
    </font>
    <font>
      <b/>
      <sz val="18"/>
      <color rgb="FF174833"/>
      <name val="Georgia"/>
      <charset val="1"/>
    </font>
    <font>
      <b/>
      <sz val="18"/>
      <color rgb="FFFFFFFF"/>
      <name val="Georgia"/>
      <family val="1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74833"/>
        <bgColor rgb="FF1E5A42"/>
      </patternFill>
    </fill>
    <fill>
      <patternFill patternType="solid">
        <fgColor rgb="FFA2CB10"/>
        <bgColor rgb="FF8BAE0B"/>
      </patternFill>
    </fill>
    <fill>
      <patternFill patternType="solid">
        <fgColor rgb="FF0C0D0E"/>
        <bgColor rgb="FF000000"/>
      </patternFill>
    </fill>
    <fill>
      <patternFill patternType="solid">
        <fgColor rgb="FF1E5A42"/>
        <bgColor rgb="FF174833"/>
      </patternFill>
    </fill>
    <fill>
      <patternFill patternType="solid">
        <fgColor rgb="FF8BAE0B"/>
        <bgColor rgb="FFA2CB10"/>
      </patternFill>
    </fill>
    <fill>
      <patternFill patternType="solid">
        <fgColor rgb="FFFFFBF7"/>
        <bgColor rgb="FFFFFFFF"/>
      </patternFill>
    </fill>
    <fill>
      <patternFill patternType="solid">
        <fgColor rgb="FF354604"/>
        <bgColor rgb="FF174833"/>
      </patternFill>
    </fill>
    <fill>
      <patternFill patternType="solid">
        <fgColor rgb="FFEFF6D9"/>
        <bgColor rgb="FFFFFBF7"/>
      </patternFill>
    </fill>
    <fill>
      <patternFill patternType="solid">
        <fgColor rgb="FFFFFFFF"/>
        <bgColor rgb="FFFFFBF7"/>
      </patternFill>
    </fill>
    <fill>
      <patternFill patternType="solid">
        <fgColor rgb="FF2B6B50"/>
        <bgColor rgb="FF1E5A42"/>
      </patternFill>
    </fill>
    <fill>
      <patternFill patternType="solid">
        <fgColor rgb="FF2B6B50"/>
        <bgColor rgb="FF000000"/>
      </patternFill>
    </fill>
    <fill>
      <patternFill patternType="solid">
        <fgColor rgb="FF174833"/>
        <bgColor rgb="FF000000"/>
      </patternFill>
    </fill>
    <fill>
      <patternFill patternType="solid">
        <fgColor rgb="FF174833"/>
        <bgColor rgb="FF174833"/>
      </patternFill>
    </fill>
    <fill>
      <patternFill patternType="solid">
        <fgColor rgb="FF174833"/>
        <bgColor rgb="FFA2CB10"/>
      </patternFill>
    </fill>
    <fill>
      <patternFill patternType="solid">
        <fgColor rgb="FF2B6B50"/>
        <bgColor rgb="FFA2CB10"/>
      </patternFill>
    </fill>
    <fill>
      <patternFill patternType="solid">
        <fgColor rgb="FF2B6B50"/>
        <bgColor rgb="FF878787"/>
      </patternFill>
    </fill>
  </fills>
  <borders count="18">
    <border>
      <left/>
      <right/>
      <top/>
      <bottom/>
      <diagonal/>
    </border>
    <border>
      <left style="thin">
        <color rgb="FFE5E1DC"/>
      </left>
      <right style="thin">
        <color rgb="FFE5E1DC"/>
      </right>
      <top/>
      <bottom style="thin">
        <color rgb="FFE5E1DC"/>
      </bottom>
      <diagonal/>
    </border>
    <border>
      <left/>
      <right/>
      <top/>
      <bottom style="thin">
        <color rgb="FFE5E1DC"/>
      </bottom>
      <diagonal/>
    </border>
    <border>
      <left/>
      <right/>
      <top/>
      <bottom style="medium">
        <color rgb="FFA2CB10"/>
      </bottom>
      <diagonal/>
    </border>
    <border>
      <left style="thin">
        <color rgb="FFE5E1DC"/>
      </left>
      <right style="thin">
        <color rgb="FFE5E1DC"/>
      </right>
      <top style="thin">
        <color rgb="FFE5E1DC"/>
      </top>
      <bottom style="thin">
        <color rgb="FFE5E1DC"/>
      </bottom>
      <diagonal/>
    </border>
    <border>
      <left style="thin">
        <color rgb="FFE5E1DC"/>
      </left>
      <right style="thin">
        <color rgb="FFE5E1DC"/>
      </right>
      <top style="thick">
        <color rgb="FF0C0D0E"/>
      </top>
      <bottom/>
      <diagonal/>
    </border>
    <border>
      <left style="thin">
        <color rgb="FFE5E1DC"/>
      </left>
      <right style="thin">
        <color rgb="FFE5E1DC"/>
      </right>
      <top style="thick">
        <color rgb="FFA2CB10"/>
      </top>
      <bottom/>
      <diagonal/>
    </border>
    <border>
      <left style="thin">
        <color rgb="FFE5E1DC"/>
      </left>
      <right style="thin">
        <color rgb="FFE5E1DC"/>
      </right>
      <top style="thick">
        <color rgb="FF8BAE0B"/>
      </top>
      <bottom/>
      <diagonal/>
    </border>
    <border>
      <left style="thin">
        <color rgb="FFE5E1DC"/>
      </left>
      <right style="thin">
        <color rgb="FFE5E1DC"/>
      </right>
      <top style="thick">
        <color rgb="FF1E5A42"/>
      </top>
      <bottom/>
      <diagonal/>
    </border>
    <border>
      <left style="thin">
        <color rgb="FFE5E1DC"/>
      </left>
      <right style="thin">
        <color rgb="FFE5E1DC"/>
      </right>
      <top style="thick">
        <color rgb="FF354604"/>
      </top>
      <bottom/>
      <diagonal/>
    </border>
    <border>
      <left style="medium">
        <color rgb="FFA2CB10"/>
      </left>
      <right/>
      <top style="medium">
        <color rgb="FFA2CB10"/>
      </top>
      <bottom/>
      <diagonal/>
    </border>
    <border>
      <left/>
      <right/>
      <top style="medium">
        <color rgb="FFA2CB10"/>
      </top>
      <bottom/>
      <diagonal/>
    </border>
    <border>
      <left/>
      <right style="medium">
        <color rgb="FFA2CB10"/>
      </right>
      <top style="medium">
        <color rgb="FFA2CB10"/>
      </top>
      <bottom/>
      <diagonal/>
    </border>
    <border>
      <left style="medium">
        <color rgb="FFA2CB10"/>
      </left>
      <right/>
      <top/>
      <bottom style="medium">
        <color rgb="FFA2CB10"/>
      </bottom>
      <diagonal/>
    </border>
    <border>
      <left/>
      <right style="medium">
        <color rgb="FFA2CB10"/>
      </right>
      <top/>
      <bottom style="medium">
        <color rgb="FFA2CB10"/>
      </bottom>
      <diagonal/>
    </border>
    <border>
      <left style="medium">
        <color rgb="FF92D050"/>
      </left>
      <right/>
      <top style="medium">
        <color rgb="FF92D050"/>
      </top>
      <bottom style="medium">
        <color rgb="FF92D050"/>
      </bottom>
      <diagonal/>
    </border>
    <border>
      <left/>
      <right/>
      <top style="medium">
        <color rgb="FF92D050"/>
      </top>
      <bottom style="medium">
        <color rgb="FF92D050"/>
      </bottom>
      <diagonal/>
    </border>
    <border>
      <left/>
      <right style="medium">
        <color rgb="FF92D050"/>
      </right>
      <top style="medium">
        <color rgb="FF92D050"/>
      </top>
      <bottom style="medium">
        <color rgb="FF92D05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0" fillId="7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7" borderId="1" xfId="0" applyFont="1" applyFill="1" applyBorder="1" applyAlignment="1">
      <alignment vertical="top" wrapText="1" indent="1"/>
    </xf>
    <xf numFmtId="0" fontId="6" fillId="6" borderId="0" xfId="0" applyFont="1" applyFill="1" applyAlignment="1">
      <alignment vertical="center" indent="1"/>
    </xf>
    <xf numFmtId="0" fontId="6" fillId="3" borderId="0" xfId="0" applyFont="1" applyFill="1" applyAlignment="1">
      <alignment vertical="center" indent="1"/>
    </xf>
    <xf numFmtId="0" fontId="5" fillId="5" borderId="0" xfId="0" applyFont="1" applyFill="1" applyAlignment="1">
      <alignment vertical="center" indent="1"/>
    </xf>
    <xf numFmtId="0" fontId="5" fillId="4" borderId="0" xfId="0" applyFont="1" applyFill="1" applyAlignment="1">
      <alignment vertical="center" indent="1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0" xfId="0" applyFill="1"/>
    <xf numFmtId="0" fontId="11" fillId="11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/>
    </xf>
    <xf numFmtId="14" fontId="7" fillId="7" borderId="4" xfId="0" applyNumberFormat="1" applyFont="1" applyFill="1" applyBorder="1" applyAlignment="1">
      <alignment horizontal="center" vertical="center"/>
    </xf>
    <xf numFmtId="20" fontId="7" fillId="7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1" fontId="7" fillId="7" borderId="4" xfId="0" applyNumberFormat="1" applyFont="1" applyFill="1" applyBorder="1" applyAlignment="1">
      <alignment horizontal="center" vertical="center"/>
    </xf>
    <xf numFmtId="164" fontId="19" fillId="7" borderId="4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 wrapText="1" indent="1"/>
    </xf>
    <xf numFmtId="0" fontId="18" fillId="10" borderId="4" xfId="0" applyFont="1" applyFill="1" applyBorder="1" applyAlignment="1">
      <alignment horizontal="center" vertical="center"/>
    </xf>
    <xf numFmtId="14" fontId="7" fillId="10" borderId="4" xfId="0" applyNumberFormat="1" applyFont="1" applyFill="1" applyBorder="1" applyAlignment="1">
      <alignment horizontal="center" vertical="center"/>
    </xf>
    <xf numFmtId="20" fontId="7" fillId="10" borderId="4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1" fontId="7" fillId="10" borderId="4" xfId="0" applyNumberFormat="1" applyFont="1" applyFill="1" applyBorder="1" applyAlignment="1">
      <alignment horizontal="center" vertical="center"/>
    </xf>
    <xf numFmtId="164" fontId="19" fillId="10" borderId="4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 wrapText="1" indent="1"/>
    </xf>
    <xf numFmtId="0" fontId="20" fillId="2" borderId="0" xfId="0" applyFont="1" applyFill="1" applyAlignment="1">
      <alignment vertical="center"/>
    </xf>
    <xf numFmtId="0" fontId="16" fillId="2" borderId="0" xfId="0" applyFont="1" applyFill="1"/>
    <xf numFmtId="0" fontId="24" fillId="7" borderId="2" xfId="0" applyFont="1" applyFill="1" applyBorder="1" applyAlignment="1">
      <alignment horizontal="center" vertical="center"/>
    </xf>
    <xf numFmtId="0" fontId="26" fillId="2" borderId="0" xfId="0" applyFont="1" applyFill="1"/>
    <xf numFmtId="0" fontId="17" fillId="5" borderId="0" xfId="0" applyFont="1" applyFill="1"/>
    <xf numFmtId="0" fontId="0" fillId="5" borderId="0" xfId="0" applyFill="1"/>
    <xf numFmtId="0" fontId="7" fillId="7" borderId="4" xfId="0" applyFont="1" applyFill="1" applyBorder="1"/>
    <xf numFmtId="1" fontId="19" fillId="7" borderId="4" xfId="0" applyNumberFormat="1" applyFont="1" applyFill="1" applyBorder="1" applyAlignment="1">
      <alignment horizontal="right"/>
    </xf>
    <xf numFmtId="0" fontId="7" fillId="10" borderId="4" xfId="0" applyFont="1" applyFill="1" applyBorder="1"/>
    <xf numFmtId="164" fontId="19" fillId="10" borderId="4" xfId="0" applyNumberFormat="1" applyFont="1" applyFill="1" applyBorder="1" applyAlignment="1">
      <alignment horizontal="right"/>
    </xf>
    <xf numFmtId="165" fontId="19" fillId="7" borderId="4" xfId="0" applyNumberFormat="1" applyFont="1" applyFill="1" applyBorder="1" applyAlignment="1">
      <alignment horizontal="right"/>
    </xf>
    <xf numFmtId="1" fontId="19" fillId="10" borderId="4" xfId="0" applyNumberFormat="1" applyFont="1" applyFill="1" applyBorder="1" applyAlignment="1">
      <alignment horizontal="right"/>
    </xf>
    <xf numFmtId="0" fontId="11" fillId="5" borderId="0" xfId="0" applyFont="1" applyFill="1" applyAlignment="1">
      <alignment horizontal="right"/>
    </xf>
    <xf numFmtId="9" fontId="19" fillId="10" borderId="4" xfId="0" applyNumberFormat="1" applyFont="1" applyFill="1" applyBorder="1" applyAlignment="1">
      <alignment horizontal="right"/>
    </xf>
    <xf numFmtId="165" fontId="19" fillId="10" borderId="4" xfId="0" applyNumberFormat="1" applyFont="1" applyFill="1" applyBorder="1" applyAlignment="1">
      <alignment horizontal="right"/>
    </xf>
    <xf numFmtId="9" fontId="19" fillId="7" borderId="4" xfId="0" applyNumberFormat="1" applyFont="1" applyFill="1" applyBorder="1" applyAlignment="1">
      <alignment horizontal="right"/>
    </xf>
    <xf numFmtId="0" fontId="27" fillId="0" borderId="0" xfId="0" applyFont="1"/>
    <xf numFmtId="164" fontId="19" fillId="7" borderId="4" xfId="0" applyNumberFormat="1" applyFont="1" applyFill="1" applyBorder="1" applyAlignment="1">
      <alignment horizontal="right"/>
    </xf>
    <xf numFmtId="0" fontId="28" fillId="0" borderId="0" xfId="0" applyFont="1"/>
    <xf numFmtId="0" fontId="18" fillId="0" borderId="0" xfId="0" applyFont="1"/>
    <xf numFmtId="0" fontId="17" fillId="2" borderId="0" xfId="0" applyFont="1" applyFill="1" applyAlignment="1">
      <alignment vertical="center"/>
    </xf>
    <xf numFmtId="0" fontId="11" fillId="2" borderId="0" xfId="0" applyFont="1" applyFill="1" applyAlignment="1">
      <alignment vertical="center" indent="1"/>
    </xf>
    <xf numFmtId="0" fontId="12" fillId="7" borderId="2" xfId="0" applyFont="1" applyFill="1" applyBorder="1" applyAlignment="1">
      <alignment vertical="center" indent="1"/>
    </xf>
    <xf numFmtId="0" fontId="13" fillId="7" borderId="2" xfId="0" applyFont="1" applyFill="1" applyBorder="1" applyAlignment="1">
      <alignment vertical="center" wrapText="1" indent="1"/>
    </xf>
    <xf numFmtId="0" fontId="12" fillId="10" borderId="2" xfId="0" applyFont="1" applyFill="1" applyBorder="1" applyAlignment="1">
      <alignment vertical="center" indent="1"/>
    </xf>
    <xf numFmtId="0" fontId="13" fillId="10" borderId="2" xfId="0" applyFont="1" applyFill="1" applyBorder="1" applyAlignment="1">
      <alignment vertical="center" wrapText="1" indent="1"/>
    </xf>
    <xf numFmtId="0" fontId="15" fillId="0" borderId="0" xfId="0" applyFont="1" applyAlignment="1">
      <alignment vertical="center" wrapText="1"/>
    </xf>
    <xf numFmtId="0" fontId="21" fillId="7" borderId="5" xfId="0" applyFont="1" applyFill="1" applyBorder="1" applyAlignment="1">
      <alignment horizontal="left" vertical="center" indent="1"/>
    </xf>
    <xf numFmtId="0" fontId="21" fillId="7" borderId="6" xfId="0" applyFont="1" applyFill="1" applyBorder="1" applyAlignment="1">
      <alignment horizontal="left" vertical="center" indent="1"/>
    </xf>
    <xf numFmtId="0" fontId="21" fillId="7" borderId="7" xfId="0" applyFont="1" applyFill="1" applyBorder="1" applyAlignment="1">
      <alignment horizontal="left" vertical="center" indent="1"/>
    </xf>
    <xf numFmtId="0" fontId="21" fillId="7" borderId="8" xfId="0" applyFont="1" applyFill="1" applyBorder="1" applyAlignment="1">
      <alignment horizontal="left" vertical="center" indent="1"/>
    </xf>
    <xf numFmtId="1" fontId="22" fillId="7" borderId="1" xfId="0" applyNumberFormat="1" applyFont="1" applyFill="1" applyBorder="1" applyAlignment="1">
      <alignment horizontal="left" vertical="center" indent="1"/>
    </xf>
    <xf numFmtId="164" fontId="22" fillId="7" borderId="1" xfId="0" applyNumberFormat="1" applyFont="1" applyFill="1" applyBorder="1" applyAlignment="1">
      <alignment horizontal="left" vertical="center" indent="1"/>
    </xf>
    <xf numFmtId="165" fontId="22" fillId="7" borderId="1" xfId="0" applyNumberFormat="1" applyFont="1" applyFill="1" applyBorder="1" applyAlignment="1">
      <alignment horizontal="left" vertical="center" indent="1"/>
    </xf>
    <xf numFmtId="9" fontId="22" fillId="7" borderId="1" xfId="0" applyNumberFormat="1" applyFont="1" applyFill="1" applyBorder="1" applyAlignment="1">
      <alignment horizontal="left" vertical="center" indent="1"/>
    </xf>
    <xf numFmtId="0" fontId="21" fillId="7" borderId="9" xfId="0" applyFont="1" applyFill="1" applyBorder="1" applyAlignment="1">
      <alignment horizontal="left" vertical="center" indent="1"/>
    </xf>
    <xf numFmtId="0" fontId="23" fillId="0" borderId="0" xfId="0" applyFont="1" applyAlignment="1">
      <alignment vertical="center"/>
    </xf>
    <xf numFmtId="0" fontId="7" fillId="7" borderId="2" xfId="0" applyFont="1" applyFill="1" applyBorder="1" applyAlignment="1">
      <alignment vertical="center" wrapText="1" indent="1"/>
    </xf>
    <xf numFmtId="0" fontId="25" fillId="0" borderId="0" xfId="0" applyFont="1" applyAlignment="1">
      <alignment vertical="center" wrapText="1"/>
    </xf>
    <xf numFmtId="0" fontId="14" fillId="9" borderId="2" xfId="0" applyFont="1" applyFill="1" applyBorder="1" applyAlignment="1">
      <alignment horizontal="left" vertical="center" indent="1"/>
    </xf>
    <xf numFmtId="0" fontId="31" fillId="7" borderId="4" xfId="0" applyFont="1" applyFill="1" applyBorder="1" applyAlignment="1">
      <alignment horizontal="left" vertical="center" wrapText="1" indent="1"/>
    </xf>
    <xf numFmtId="0" fontId="11" fillId="14" borderId="3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 wrapText="1"/>
    </xf>
    <xf numFmtId="0" fontId="11" fillId="11" borderId="14" xfId="0" applyFont="1" applyFill="1" applyBorder="1" applyAlignment="1">
      <alignment horizontal="center" vertical="center" wrapText="1"/>
    </xf>
    <xf numFmtId="0" fontId="30" fillId="12" borderId="10" xfId="0" applyFont="1" applyFill="1" applyBorder="1" applyAlignment="1">
      <alignment horizontal="center" vertical="center"/>
    </xf>
    <xf numFmtId="0" fontId="30" fillId="12" borderId="11" xfId="0" applyFont="1" applyFill="1" applyBorder="1" applyAlignment="1">
      <alignment horizontal="center" vertical="center"/>
    </xf>
    <xf numFmtId="0" fontId="30" fillId="12" borderId="12" xfId="0" applyFont="1" applyFill="1" applyBorder="1" applyAlignment="1">
      <alignment horizontal="center" vertical="center"/>
    </xf>
    <xf numFmtId="0" fontId="11" fillId="13" borderId="13" xfId="0" applyFont="1" applyFill="1" applyBorder="1" applyAlignment="1">
      <alignment horizontal="center" vertical="center" wrapText="1"/>
    </xf>
    <xf numFmtId="0" fontId="11" fillId="14" borderId="14" xfId="0" applyFont="1" applyFill="1" applyBorder="1" applyAlignment="1">
      <alignment horizontal="center" vertical="center" wrapText="1"/>
    </xf>
    <xf numFmtId="0" fontId="32" fillId="15" borderId="10" xfId="0" applyFont="1" applyFill="1" applyBorder="1" applyAlignment="1">
      <alignment horizontal="center" vertical="center"/>
    </xf>
    <xf numFmtId="0" fontId="32" fillId="15" borderId="12" xfId="0" applyFont="1" applyFill="1" applyBorder="1" applyAlignment="1">
      <alignment horizontal="center" vertical="center"/>
    </xf>
    <xf numFmtId="0" fontId="33" fillId="16" borderId="13" xfId="0" applyFont="1" applyFill="1" applyBorder="1" applyAlignment="1">
      <alignment horizontal="center" vertical="center" wrapText="1"/>
    </xf>
    <xf numFmtId="0" fontId="33" fillId="17" borderId="14" xfId="0" applyFont="1" applyFill="1" applyBorder="1" applyAlignment="1">
      <alignment horizontal="center" vertical="center" wrapText="1"/>
    </xf>
    <xf numFmtId="0" fontId="17" fillId="11" borderId="10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29" fillId="2" borderId="15" xfId="0" applyFont="1" applyFill="1" applyBorder="1" applyAlignment="1">
      <alignment vertical="center"/>
    </xf>
    <xf numFmtId="0" fontId="0" fillId="2" borderId="16" xfId="0" applyFill="1" applyBorder="1"/>
    <xf numFmtId="0" fontId="0" fillId="2" borderId="17" xfId="0" applyFill="1" applyBorder="1"/>
  </cellXfs>
  <cellStyles count="1">
    <cellStyle name="Normal" xfId="0" builtinId="0"/>
  </cellStyles>
  <dxfs count="8">
    <dxf>
      <fill>
        <patternFill>
          <bgColor rgb="FFF7D9D9"/>
        </patternFill>
      </fill>
    </dxf>
    <dxf>
      <fill>
        <patternFill>
          <bgColor rgb="FFDCEBA6"/>
        </patternFill>
      </fill>
    </dxf>
    <dxf>
      <font>
        <b/>
        <color rgb="FF7A1F21"/>
        <name val="Arial"/>
        <charset val="1"/>
      </font>
      <fill>
        <patternFill>
          <bgColor rgb="FFF7D9D9"/>
        </patternFill>
      </fill>
    </dxf>
    <dxf>
      <font>
        <b/>
        <color rgb="FF354604"/>
        <name val="Arial"/>
        <charset val="1"/>
      </font>
      <fill>
        <patternFill>
          <bgColor rgb="FFDCEBA6"/>
        </patternFill>
      </fill>
    </dxf>
    <dxf>
      <font>
        <b/>
        <color rgb="FF7A1F21"/>
        <name val="Arial"/>
        <charset val="1"/>
      </font>
      <fill>
        <patternFill>
          <bgColor rgb="FFF7D9D9"/>
        </patternFill>
      </fill>
    </dxf>
    <dxf>
      <font>
        <b/>
        <color rgb="FF354604"/>
        <name val="Arial"/>
        <charset val="1"/>
      </font>
      <fill>
        <patternFill>
          <bgColor rgb="FFDCEBA6"/>
        </patternFill>
      </fill>
    </dxf>
    <dxf>
      <font>
        <b/>
        <color rgb="FF7A1F21"/>
        <name val="Arial"/>
        <charset val="1"/>
      </font>
      <fill>
        <patternFill>
          <bgColor rgb="FFF7D9D9"/>
        </patternFill>
      </fill>
    </dxf>
    <dxf>
      <font>
        <b/>
        <color rgb="FF354604"/>
        <name val="Arial"/>
        <charset val="1"/>
      </font>
      <fill>
        <patternFill>
          <bgColor rgb="FFDCEBA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AE0B"/>
      <rgbColor rgb="FF800080"/>
      <rgbColor rgb="FF2B6B50"/>
      <rgbColor rgb="FFC0C0C0"/>
      <rgbColor rgb="FF878787"/>
      <rgbColor rgb="FF9999FF"/>
      <rgbColor rgb="FF993366"/>
      <rgbColor rgb="FFEFF6D9"/>
      <rgbColor rgb="FFFFF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1DC"/>
      <rgbColor rgb="FFDCEBA6"/>
      <rgbColor rgb="FFFFFF99"/>
      <rgbColor rgb="FF99CCFF"/>
      <rgbColor rgb="FFFF99CC"/>
      <rgbColor rgb="FFCC99FF"/>
      <rgbColor rgb="FFF7D9D9"/>
      <rgbColor rgb="FF3366FF"/>
      <rgbColor rgb="FF33CCCC"/>
      <rgbColor rgb="FFA2CB10"/>
      <rgbColor rgb="FFFFCC00"/>
      <rgbColor rgb="FFFF9900"/>
      <rgbColor rgb="FFFF6600"/>
      <rgbColor rgb="FF6E6D6B"/>
      <rgbColor rgb="FF9A9893"/>
      <rgbColor rgb="FF1E5A42"/>
      <rgbColor rgb="FF339966"/>
      <rgbColor rgb="FF0C0D0E"/>
      <rgbColor rgb="FF354604"/>
      <rgbColor rgb="FF7A1F21"/>
      <rgbColor rgb="FF993366"/>
      <rgbColor rgb="FF333399"/>
      <rgbColor rgb="FF174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6B50"/>
      <color rgb="FF1748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Pontos por motivo da entrada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8BAE0B"/>
            </a:solidFill>
            <a:ln w="9360">
              <a:solidFill>
                <a:srgbClr val="8BAE0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Tabelas!$B$17:$B$20</c:f>
              <c:strCache>
                <c:ptCount val="4"/>
                <c:pt idx="0">
                  <c:v>Pullback</c:v>
                </c:pt>
                <c:pt idx="1">
                  <c:v>Ponto de parada</c:v>
                </c:pt>
                <c:pt idx="2">
                  <c:v>Negação</c:v>
                </c:pt>
                <c:pt idx="3">
                  <c:v>Rompimento sem teste</c:v>
                </c:pt>
              </c:strCache>
            </c:strRef>
          </c:cat>
          <c:val>
            <c:numRef>
              <c:f>Tabelas!$D$17:$D$20</c:f>
              <c:numCache>
                <c:formatCode>\+0;\-0;0</c:formatCode>
                <c:ptCount val="4"/>
                <c:pt idx="0">
                  <c:v>0</c:v>
                </c:pt>
                <c:pt idx="1">
                  <c:v>500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A-40C9-89EA-02520532B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833035"/>
        <c:axId val="75751019"/>
      </c:barChart>
      <c:catAx>
        <c:axId val="38330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5751019"/>
        <c:crosses val="autoZero"/>
        <c:auto val="1"/>
        <c:lblAlgn val="ctr"/>
        <c:lblOffset val="100"/>
        <c:noMultiLvlLbl val="0"/>
      </c:catAx>
      <c:valAx>
        <c:axId val="75751019"/>
        <c:scaling>
          <c:orientation val="minMax"/>
        </c:scaling>
        <c:delete val="0"/>
        <c:axPos val="l"/>
        <c:majorGridlines>
          <c:spPr>
            <a:ln w="9360">
              <a:solidFill>
                <a:srgbClr val="E5E1DC"/>
              </a:solidFill>
              <a:round/>
            </a:ln>
          </c:spPr>
        </c:majorGridlines>
        <c:numFmt formatCode="\+0;\-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8330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Pontos por tipo de saída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E5A42"/>
            </a:solidFill>
            <a:ln w="9360">
              <a:solidFill>
                <a:srgbClr val="1E5A4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Tabelas!$B$23:$B$26</c:f>
              <c:strCache>
                <c:ptCount val="4"/>
                <c:pt idx="0">
                  <c:v>Alvo final</c:v>
                </c:pt>
                <c:pt idx="1">
                  <c:v>Stop</c:v>
                </c:pt>
                <c:pt idx="2">
                  <c:v>Primeiro alvo (tendência contra)</c:v>
                </c:pt>
                <c:pt idx="3">
                  <c:v>Saída manual</c:v>
                </c:pt>
              </c:strCache>
            </c:strRef>
          </c:cat>
          <c:val>
            <c:numRef>
              <c:f>Tabelas!$D$23:$D$26</c:f>
              <c:numCache>
                <c:formatCode>\+0;\-0;0</c:formatCode>
                <c:ptCount val="4"/>
                <c:pt idx="0">
                  <c:v>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A-4002-8A21-D43671A9D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7574245"/>
        <c:axId val="4138481"/>
      </c:barChart>
      <c:catAx>
        <c:axId val="875742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138481"/>
        <c:crosses val="autoZero"/>
        <c:auto val="1"/>
        <c:lblAlgn val="ctr"/>
        <c:lblOffset val="100"/>
        <c:noMultiLvlLbl val="0"/>
      </c:catAx>
      <c:valAx>
        <c:axId val="4138481"/>
        <c:scaling>
          <c:orientation val="minMax"/>
        </c:scaling>
        <c:delete val="0"/>
        <c:axPos val="l"/>
        <c:majorGridlines>
          <c:spPr>
            <a:ln w="9360">
              <a:solidFill>
                <a:srgbClr val="E5E1DC"/>
              </a:solidFill>
              <a:round/>
            </a:ln>
          </c:spPr>
        </c:majorGridlines>
        <c:numFmt formatCode="\+0;\-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75742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Emoções: ao entrar e ao sair (nº de operações)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Tabelas!$C$28</c:f>
              <c:strCache>
                <c:ptCount val="1"/>
                <c:pt idx="0">
                  <c:v>Ao entrar</c:v>
                </c:pt>
              </c:strCache>
            </c:strRef>
          </c:tx>
          <c:spPr>
            <a:solidFill>
              <a:srgbClr val="A2CB10"/>
            </a:solidFill>
            <a:ln w="9360">
              <a:solidFill>
                <a:srgbClr val="A2CB1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Tabelas!$B$29:$B$40</c:f>
              <c:strCache>
                <c:ptCount val="12"/>
                <c:pt idx="0">
                  <c:v>Calmo</c:v>
                </c:pt>
                <c:pt idx="1">
                  <c:v>Confiante</c:v>
                </c:pt>
                <c:pt idx="2">
                  <c:v>Focado</c:v>
                </c:pt>
                <c:pt idx="3">
                  <c:v>Ansioso</c:v>
                </c:pt>
                <c:pt idx="4">
                  <c:v>Impaciente</c:v>
                </c:pt>
                <c:pt idx="5">
                  <c:v>Com medo</c:v>
                </c:pt>
                <c:pt idx="6">
                  <c:v>Ganancioso</c:v>
                </c:pt>
                <c:pt idx="7">
                  <c:v>Eufórico</c:v>
                </c:pt>
                <c:pt idx="8">
                  <c:v>Frustrado</c:v>
                </c:pt>
                <c:pt idx="9">
                  <c:v>Irritado</c:v>
                </c:pt>
                <c:pt idx="10">
                  <c:v>Indiferente</c:v>
                </c:pt>
                <c:pt idx="11">
                  <c:v>Outra</c:v>
                </c:pt>
              </c:strCache>
            </c:strRef>
          </c:cat>
          <c:val>
            <c:numRef>
              <c:f>Tabelas!$C$29:$C$40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1-47D8-965A-E681BFBBF541}"/>
            </c:ext>
          </c:extLst>
        </c:ser>
        <c:ser>
          <c:idx val="1"/>
          <c:order val="1"/>
          <c:tx>
            <c:strRef>
              <c:f>Tabelas!$D$28</c:f>
              <c:strCache>
                <c:ptCount val="1"/>
                <c:pt idx="0">
                  <c:v>Ao sair</c:v>
                </c:pt>
              </c:strCache>
            </c:strRef>
          </c:tx>
          <c:spPr>
            <a:solidFill>
              <a:srgbClr val="174833"/>
            </a:solidFill>
            <a:ln w="9360">
              <a:solidFill>
                <a:srgbClr val="174833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Tabelas!$B$29:$B$40</c:f>
              <c:strCache>
                <c:ptCount val="12"/>
                <c:pt idx="0">
                  <c:v>Calmo</c:v>
                </c:pt>
                <c:pt idx="1">
                  <c:v>Confiante</c:v>
                </c:pt>
                <c:pt idx="2">
                  <c:v>Focado</c:v>
                </c:pt>
                <c:pt idx="3">
                  <c:v>Ansioso</c:v>
                </c:pt>
                <c:pt idx="4">
                  <c:v>Impaciente</c:v>
                </c:pt>
                <c:pt idx="5">
                  <c:v>Com medo</c:v>
                </c:pt>
                <c:pt idx="6">
                  <c:v>Ganancioso</c:v>
                </c:pt>
                <c:pt idx="7">
                  <c:v>Eufórico</c:v>
                </c:pt>
                <c:pt idx="8">
                  <c:v>Frustrado</c:v>
                </c:pt>
                <c:pt idx="9">
                  <c:v>Irritado</c:v>
                </c:pt>
                <c:pt idx="10">
                  <c:v>Indiferente</c:v>
                </c:pt>
                <c:pt idx="11">
                  <c:v>Outra</c:v>
                </c:pt>
              </c:strCache>
            </c:strRef>
          </c:cat>
          <c:val>
            <c:numRef>
              <c:f>Tabelas!$D$29:$D$40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81-47D8-965A-E681BFBBF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6041965"/>
        <c:axId val="23424917"/>
      </c:barChart>
      <c:catAx>
        <c:axId val="160419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3424917"/>
        <c:crosses val="autoZero"/>
        <c:auto val="1"/>
        <c:lblAlgn val="ctr"/>
        <c:lblOffset val="100"/>
        <c:noMultiLvlLbl val="0"/>
      </c:catAx>
      <c:valAx>
        <c:axId val="23424917"/>
        <c:scaling>
          <c:orientation val="minMax"/>
        </c:scaling>
        <c:delete val="0"/>
        <c:axPos val="l"/>
        <c:majorGridlines>
          <c:spPr>
            <a:ln w="9360">
              <a:solidFill>
                <a:srgbClr val="E5E1DC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1604196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74835</xdr:rowOff>
    </xdr:from>
    <xdr:to>
      <xdr:col>8</xdr:col>
      <xdr:colOff>1500</xdr:colOff>
      <xdr:row>34</xdr:row>
      <xdr:rowOff>7815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74835</xdr:rowOff>
    </xdr:from>
    <xdr:to>
      <xdr:col>14</xdr:col>
      <xdr:colOff>1860</xdr:colOff>
      <xdr:row>34</xdr:row>
      <xdr:rowOff>7815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35</xdr:row>
      <xdr:rowOff>131040</xdr:rowOff>
    </xdr:from>
    <xdr:to>
      <xdr:col>14</xdr:col>
      <xdr:colOff>42480</xdr:colOff>
      <xdr:row>50</xdr:row>
      <xdr:rowOff>81000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4833"/>
    <pageSetUpPr fitToPage="1"/>
  </sheetPr>
  <dimension ref="B1:O40"/>
  <sheetViews>
    <sheetView showGridLines="0" tabSelected="1" zoomScaleNormal="100" workbookViewId="0"/>
  </sheetViews>
  <sheetFormatPr defaultColWidth="8.7109375" defaultRowHeight="15" x14ac:dyDescent="0.25"/>
  <cols>
    <col min="1" max="1" width="1.140625" customWidth="1"/>
    <col min="2" max="2" width="2.42578125" customWidth="1"/>
    <col min="3" max="14" width="10.5703125" customWidth="1"/>
    <col min="15" max="15" width="2.42578125" customWidth="1"/>
  </cols>
  <sheetData>
    <row r="1" spans="2:15" ht="7.5" customHeight="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2:15" ht="7.5" customHeight="1" x14ac:dyDescent="0.25"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5.75" customHeight="1" x14ac:dyDescent="0.25">
      <c r="B3" s="15"/>
      <c r="C3" s="16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2:15" ht="25.5" customHeight="1" x14ac:dyDescent="0.25">
      <c r="B4" s="15"/>
      <c r="C4" s="14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</row>
    <row r="5" spans="2:15" ht="25.5" customHeight="1" x14ac:dyDescent="0.25">
      <c r="B5" s="15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</row>
    <row r="6" spans="2:15" ht="6" customHeight="1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2:15" ht="24" customHeight="1" x14ac:dyDescent="0.25">
      <c r="B7" s="15"/>
      <c r="C7" s="17" t="s">
        <v>2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2:15" ht="13.5" customHeight="1" x14ac:dyDescent="0.2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2:15" ht="4.5" customHeight="1" x14ac:dyDescent="0.25"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1" spans="2:15" ht="19.5" x14ac:dyDescent="0.25">
      <c r="C11" s="13" t="s">
        <v>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2:15" ht="25.5" customHeight="1" x14ac:dyDescent="0.25">
      <c r="C12" s="12" t="s">
        <v>4</v>
      </c>
      <c r="D12" s="12"/>
      <c r="E12" s="12"/>
      <c r="F12" s="11" t="s">
        <v>5</v>
      </c>
      <c r="G12" s="11"/>
      <c r="H12" s="11"/>
      <c r="I12" s="10" t="s">
        <v>6</v>
      </c>
      <c r="J12" s="10"/>
      <c r="K12" s="10"/>
      <c r="L12" s="9" t="s">
        <v>7</v>
      </c>
      <c r="M12" s="9"/>
      <c r="N12" s="9"/>
    </row>
    <row r="13" spans="2:15" ht="18" customHeight="1" x14ac:dyDescent="0.25">
      <c r="C13" s="8" t="s">
        <v>8</v>
      </c>
      <c r="D13" s="8"/>
      <c r="E13" s="8"/>
      <c r="F13" s="8" t="s">
        <v>9</v>
      </c>
      <c r="G13" s="8"/>
      <c r="H13" s="8"/>
      <c r="I13" s="8" t="s">
        <v>10</v>
      </c>
      <c r="J13" s="8"/>
      <c r="K13" s="8"/>
      <c r="L13" s="8" t="s">
        <v>11</v>
      </c>
      <c r="M13" s="8"/>
      <c r="N13" s="8"/>
    </row>
    <row r="14" spans="2:15" ht="18" customHeight="1" x14ac:dyDescent="0.25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2:15" ht="18" customHeight="1" x14ac:dyDescent="0.25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7" spans="3:14" ht="27.75" customHeight="1" x14ac:dyDescent="0.25">
      <c r="C17" s="13" t="s">
        <v>12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3:14" ht="24" customHeight="1" x14ac:dyDescent="0.25">
      <c r="C18" s="7" t="s">
        <v>13</v>
      </c>
      <c r="D18" s="7"/>
      <c r="E18" s="6" t="s">
        <v>14</v>
      </c>
      <c r="F18" s="6"/>
      <c r="G18" s="5" t="s">
        <v>15</v>
      </c>
      <c r="H18" s="5"/>
      <c r="I18" s="4" t="s">
        <v>16</v>
      </c>
      <c r="J18" s="4"/>
      <c r="K18" s="3" t="s">
        <v>17</v>
      </c>
      <c r="L18" s="3"/>
      <c r="M18" s="2" t="s">
        <v>18</v>
      </c>
      <c r="N18" s="2"/>
    </row>
    <row r="19" spans="3:14" ht="16.5" customHeight="1" x14ac:dyDescent="0.25">
      <c r="C19" s="1" t="s">
        <v>19</v>
      </c>
      <c r="D19" s="1"/>
      <c r="E19" s="1" t="s">
        <v>20</v>
      </c>
      <c r="F19" s="1"/>
      <c r="G19" s="1" t="s">
        <v>21</v>
      </c>
      <c r="H19" s="1"/>
      <c r="I19" s="1" t="s">
        <v>22</v>
      </c>
      <c r="J19" s="1"/>
      <c r="K19" s="1" t="s">
        <v>23</v>
      </c>
      <c r="L19" s="1"/>
      <c r="M19" s="1" t="s">
        <v>24</v>
      </c>
      <c r="N19" s="1"/>
    </row>
    <row r="20" spans="3:14" ht="16.5" customHeight="1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3:14" ht="16.5" customHeight="1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3" spans="3:14" ht="27.75" customHeight="1" x14ac:dyDescent="0.25">
      <c r="C23" s="13" t="s">
        <v>25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3:14" x14ac:dyDescent="0.25">
      <c r="C24" s="56" t="s">
        <v>26</v>
      </c>
      <c r="D24" s="56"/>
      <c r="E24" s="56"/>
      <c r="F24" s="56" t="s">
        <v>27</v>
      </c>
      <c r="G24" s="56"/>
      <c r="H24" s="56"/>
      <c r="I24" s="56"/>
      <c r="J24" s="56"/>
      <c r="K24" s="56"/>
      <c r="L24" s="56" t="s">
        <v>28</v>
      </c>
      <c r="M24" s="56"/>
      <c r="N24" s="56"/>
    </row>
    <row r="25" spans="3:14" ht="21.75" customHeight="1" x14ac:dyDescent="0.25">
      <c r="C25" s="57" t="s">
        <v>29</v>
      </c>
      <c r="D25" s="57"/>
      <c r="E25" s="57"/>
      <c r="F25" s="58" t="s">
        <v>30</v>
      </c>
      <c r="G25" s="58"/>
      <c r="H25" s="58"/>
      <c r="I25" s="58"/>
      <c r="J25" s="58"/>
      <c r="K25" s="58"/>
      <c r="L25" s="74" t="s">
        <v>31</v>
      </c>
      <c r="M25" s="74"/>
      <c r="N25" s="74"/>
    </row>
    <row r="26" spans="3:14" ht="21.75" customHeight="1" x14ac:dyDescent="0.25">
      <c r="C26" s="59" t="s">
        <v>32</v>
      </c>
      <c r="D26" s="59"/>
      <c r="E26" s="59"/>
      <c r="F26" s="60" t="s">
        <v>33</v>
      </c>
      <c r="G26" s="60"/>
      <c r="H26" s="60"/>
      <c r="I26" s="60"/>
      <c r="J26" s="60"/>
      <c r="K26" s="60"/>
      <c r="L26" s="74" t="s">
        <v>34</v>
      </c>
      <c r="M26" s="74"/>
      <c r="N26" s="74"/>
    </row>
    <row r="27" spans="3:14" ht="21.75" customHeight="1" x14ac:dyDescent="0.25">
      <c r="C27" s="57" t="s">
        <v>35</v>
      </c>
      <c r="D27" s="57"/>
      <c r="E27" s="57"/>
      <c r="F27" s="58" t="s">
        <v>36</v>
      </c>
      <c r="G27" s="58"/>
      <c r="H27" s="58"/>
      <c r="I27" s="58"/>
      <c r="J27" s="58"/>
      <c r="K27" s="58"/>
      <c r="L27" s="74" t="s">
        <v>37</v>
      </c>
      <c r="M27" s="74"/>
      <c r="N27" s="74"/>
    </row>
    <row r="28" spans="3:14" ht="21.75" customHeight="1" x14ac:dyDescent="0.25">
      <c r="C28" s="59" t="s">
        <v>38</v>
      </c>
      <c r="D28" s="59"/>
      <c r="E28" s="59"/>
      <c r="F28" s="60" t="s">
        <v>39</v>
      </c>
      <c r="G28" s="60"/>
      <c r="H28" s="60"/>
      <c r="I28" s="60"/>
      <c r="J28" s="60"/>
      <c r="K28" s="60"/>
      <c r="L28" s="74">
        <v>5</v>
      </c>
      <c r="M28" s="74"/>
      <c r="N28" s="74"/>
    </row>
    <row r="29" spans="3:14" ht="21.75" customHeight="1" x14ac:dyDescent="0.25">
      <c r="C29" s="57" t="s">
        <v>40</v>
      </c>
      <c r="D29" s="57"/>
      <c r="E29" s="57"/>
      <c r="F29" s="58" t="s">
        <v>41</v>
      </c>
      <c r="G29" s="58"/>
      <c r="H29" s="58"/>
      <c r="I29" s="58"/>
      <c r="J29" s="58"/>
      <c r="K29" s="58"/>
      <c r="L29" s="74" t="s">
        <v>42</v>
      </c>
      <c r="M29" s="74"/>
      <c r="N29" s="74"/>
    </row>
    <row r="30" spans="3:14" ht="21.75" customHeight="1" x14ac:dyDescent="0.25">
      <c r="C30" s="59" t="s">
        <v>43</v>
      </c>
      <c r="D30" s="59"/>
      <c r="E30" s="59"/>
      <c r="F30" s="60" t="s">
        <v>44</v>
      </c>
      <c r="G30" s="60"/>
      <c r="H30" s="60"/>
      <c r="I30" s="60"/>
      <c r="J30" s="60"/>
      <c r="K30" s="60"/>
      <c r="L30" s="74" t="s">
        <v>45</v>
      </c>
      <c r="M30" s="74"/>
      <c r="N30" s="74"/>
    </row>
    <row r="31" spans="3:14" ht="21.75" customHeight="1" x14ac:dyDescent="0.25">
      <c r="C31" s="57" t="s">
        <v>46</v>
      </c>
      <c r="D31" s="57"/>
      <c r="E31" s="57"/>
      <c r="F31" s="58" t="s">
        <v>47</v>
      </c>
      <c r="G31" s="58"/>
      <c r="H31" s="58"/>
      <c r="I31" s="58"/>
      <c r="J31" s="58"/>
      <c r="K31" s="58"/>
      <c r="L31" s="74" t="s">
        <v>42</v>
      </c>
      <c r="M31" s="74"/>
      <c r="N31" s="74"/>
    </row>
    <row r="32" spans="3:14" ht="21.75" customHeight="1" x14ac:dyDescent="0.25">
      <c r="C32" s="59" t="s">
        <v>48</v>
      </c>
      <c r="D32" s="59"/>
      <c r="E32" s="59"/>
      <c r="F32" s="60" t="s">
        <v>49</v>
      </c>
      <c r="G32" s="60"/>
      <c r="H32" s="60"/>
      <c r="I32" s="60"/>
      <c r="J32" s="60"/>
      <c r="K32" s="60"/>
      <c r="L32" s="74" t="s">
        <v>50</v>
      </c>
      <c r="M32" s="74"/>
      <c r="N32" s="74"/>
    </row>
    <row r="33" spans="3:14" ht="21.75" customHeight="1" x14ac:dyDescent="0.25">
      <c r="C33" s="57" t="s">
        <v>51</v>
      </c>
      <c r="D33" s="57"/>
      <c r="E33" s="57"/>
      <c r="F33" s="58" t="s">
        <v>52</v>
      </c>
      <c r="G33" s="58"/>
      <c r="H33" s="58"/>
      <c r="I33" s="58"/>
      <c r="J33" s="58"/>
      <c r="K33" s="58"/>
      <c r="L33" s="74">
        <v>500</v>
      </c>
      <c r="M33" s="74"/>
      <c r="N33" s="74"/>
    </row>
    <row r="34" spans="3:14" ht="21.75" customHeight="1" x14ac:dyDescent="0.25">
      <c r="C34" s="59" t="s">
        <v>53</v>
      </c>
      <c r="D34" s="59"/>
      <c r="E34" s="59"/>
      <c r="F34" s="60" t="s">
        <v>54</v>
      </c>
      <c r="G34" s="60"/>
      <c r="H34" s="60"/>
      <c r="I34" s="60"/>
      <c r="J34" s="60"/>
      <c r="K34" s="60"/>
      <c r="L34" s="74" t="s">
        <v>55</v>
      </c>
      <c r="M34" s="74"/>
      <c r="N34" s="74"/>
    </row>
    <row r="35" spans="3:14" ht="21.75" customHeight="1" x14ac:dyDescent="0.25">
      <c r="C35" s="57" t="s">
        <v>56</v>
      </c>
      <c r="D35" s="57"/>
      <c r="E35" s="57"/>
      <c r="F35" s="58" t="s">
        <v>54</v>
      </c>
      <c r="G35" s="58"/>
      <c r="H35" s="58"/>
      <c r="I35" s="58"/>
      <c r="J35" s="58"/>
      <c r="K35" s="58"/>
      <c r="L35" s="74" t="s">
        <v>57</v>
      </c>
      <c r="M35" s="74"/>
      <c r="N35" s="74"/>
    </row>
    <row r="36" spans="3:14" ht="21.75" customHeight="1" x14ac:dyDescent="0.25">
      <c r="C36" s="59" t="s">
        <v>58</v>
      </c>
      <c r="D36" s="59"/>
      <c r="E36" s="59"/>
      <c r="F36" s="60" t="s">
        <v>59</v>
      </c>
      <c r="G36" s="60"/>
      <c r="H36" s="60"/>
      <c r="I36" s="60"/>
      <c r="J36" s="60"/>
      <c r="K36" s="60"/>
      <c r="L36" s="74" t="s">
        <v>60</v>
      </c>
      <c r="M36" s="74"/>
      <c r="N36" s="74"/>
    </row>
    <row r="37" spans="3:14" ht="21.75" customHeight="1" x14ac:dyDescent="0.25">
      <c r="C37" s="57" t="s">
        <v>61</v>
      </c>
      <c r="D37" s="57"/>
      <c r="E37" s="57"/>
      <c r="F37" s="58" t="s">
        <v>122</v>
      </c>
      <c r="G37" s="58"/>
      <c r="H37" s="58"/>
      <c r="I37" s="58"/>
      <c r="J37" s="58"/>
      <c r="K37" s="58"/>
      <c r="L37" s="74" t="s">
        <v>62</v>
      </c>
      <c r="M37" s="74"/>
      <c r="N37" s="74"/>
    </row>
    <row r="39" spans="3:14" ht="15" customHeight="1" x14ac:dyDescent="0.25">
      <c r="C39" s="61" t="s">
        <v>63</v>
      </c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</row>
    <row r="40" spans="3:14" ht="25.5" customHeight="1" x14ac:dyDescent="0.25">
      <c r="C40" s="61" t="s">
        <v>64</v>
      </c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</row>
  </sheetData>
  <mergeCells count="68">
    <mergeCell ref="C39:N39"/>
    <mergeCell ref="C40:N40"/>
    <mergeCell ref="C36:E36"/>
    <mergeCell ref="F36:K36"/>
    <mergeCell ref="L36:N36"/>
    <mergeCell ref="C37:E37"/>
    <mergeCell ref="F37:K37"/>
    <mergeCell ref="L37:N37"/>
    <mergeCell ref="C34:E34"/>
    <mergeCell ref="F34:K34"/>
    <mergeCell ref="L34:N34"/>
    <mergeCell ref="C35:E35"/>
    <mergeCell ref="F35:K35"/>
    <mergeCell ref="L35:N35"/>
    <mergeCell ref="C32:E32"/>
    <mergeCell ref="F32:K32"/>
    <mergeCell ref="L32:N32"/>
    <mergeCell ref="C33:E33"/>
    <mergeCell ref="F33:K33"/>
    <mergeCell ref="L33:N33"/>
    <mergeCell ref="C30:E30"/>
    <mergeCell ref="F30:K30"/>
    <mergeCell ref="L30:N30"/>
    <mergeCell ref="C31:E31"/>
    <mergeCell ref="F31:K31"/>
    <mergeCell ref="L31:N31"/>
    <mergeCell ref="C28:E28"/>
    <mergeCell ref="F28:K28"/>
    <mergeCell ref="L28:N28"/>
    <mergeCell ref="C29:E29"/>
    <mergeCell ref="F29:K29"/>
    <mergeCell ref="L29:N29"/>
    <mergeCell ref="C26:E26"/>
    <mergeCell ref="F26:K26"/>
    <mergeCell ref="L26:N26"/>
    <mergeCell ref="C27:E27"/>
    <mergeCell ref="F27:K27"/>
    <mergeCell ref="L27:N27"/>
    <mergeCell ref="C23:N23"/>
    <mergeCell ref="C24:E24"/>
    <mergeCell ref="F24:K24"/>
    <mergeCell ref="L24:N24"/>
    <mergeCell ref="C25:E25"/>
    <mergeCell ref="F25:K25"/>
    <mergeCell ref="L25:N25"/>
    <mergeCell ref="M18:N18"/>
    <mergeCell ref="C19:D21"/>
    <mergeCell ref="E19:F21"/>
    <mergeCell ref="G19:H21"/>
    <mergeCell ref="I19:J21"/>
    <mergeCell ref="K19:L21"/>
    <mergeCell ref="M19:N21"/>
    <mergeCell ref="C18:D18"/>
    <mergeCell ref="E18:F18"/>
    <mergeCell ref="G18:H18"/>
    <mergeCell ref="I18:J18"/>
    <mergeCell ref="K18:L18"/>
    <mergeCell ref="C13:E15"/>
    <mergeCell ref="F13:H15"/>
    <mergeCell ref="I13:K15"/>
    <mergeCell ref="L13:N15"/>
    <mergeCell ref="C17:N17"/>
    <mergeCell ref="C4:N5"/>
    <mergeCell ref="C11:N11"/>
    <mergeCell ref="C12:E12"/>
    <mergeCell ref="F12:H12"/>
    <mergeCell ref="I12:K12"/>
    <mergeCell ref="L12:N12"/>
  </mergeCells>
  <pageMargins left="0.75" right="0.75" top="1" bottom="1" header="0.511811023622047" footer="0.5"/>
  <pageSetup paperSize="9" fitToHeight="0" orientation="portrait" horizontalDpi="300" verticalDpi="300"/>
  <headerFooter>
    <oddFooter>&amp;C&amp;7 Diário de Execução 40P · Material educacional. Não é recomendação de compra ou venda de ativos nem promessa de resultado; operar no mercado financeiro envolve risco de perda.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2CB10"/>
    <pageSetUpPr fitToPage="1"/>
  </sheetPr>
  <dimension ref="B1:O204"/>
  <sheetViews>
    <sheetView showGridLines="0" zoomScaleNormal="100" workbookViewId="0">
      <pane xSplit="6" ySplit="4" topLeftCell="G5" activePane="bottomRight" state="frozen"/>
      <selection pane="topRight" activeCell="F1" sqref="F1"/>
      <selection pane="bottomLeft" activeCell="A6" sqref="A6"/>
      <selection pane="bottomRight"/>
    </sheetView>
  </sheetViews>
  <sheetFormatPr defaultColWidth="8.7109375" defaultRowHeight="15" x14ac:dyDescent="0.25"/>
  <cols>
    <col min="1" max="1" width="0.7109375" customWidth="1"/>
    <col min="2" max="2" width="4.42578125" customWidth="1"/>
    <col min="3" max="3" width="11" customWidth="1"/>
    <col min="4" max="4" width="8" customWidth="1"/>
    <col min="5" max="5" width="11" customWidth="1"/>
    <col min="6" max="6" width="9.5703125" customWidth="1"/>
    <col min="7" max="7" width="13" customWidth="1"/>
    <col min="8" max="8" width="24" customWidth="1"/>
    <col min="9" max="9" width="14" customWidth="1"/>
    <col min="10" max="10" width="31" customWidth="1"/>
    <col min="11" max="11" width="12" customWidth="1"/>
    <col min="12" max="13" width="15" customWidth="1"/>
    <col min="14" max="14" width="34" customWidth="1"/>
    <col min="15" max="15" width="36" customWidth="1"/>
  </cols>
  <sheetData>
    <row r="1" spans="2:15" ht="39.75" customHeight="1" thickBot="1" x14ac:dyDescent="0.3">
      <c r="B1" s="96" t="s">
        <v>1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8"/>
    </row>
    <row r="2" spans="2:15" ht="4.5" customHeight="1" thickBot="1" x14ac:dyDescent="0.3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2:15" ht="24" customHeight="1" x14ac:dyDescent="0.25">
      <c r="B3" s="77" t="s">
        <v>65</v>
      </c>
      <c r="C3" s="78"/>
      <c r="D3" s="78"/>
      <c r="E3" s="78"/>
      <c r="F3" s="79"/>
      <c r="G3" s="82" t="s">
        <v>123</v>
      </c>
      <c r="H3" s="83"/>
      <c r="I3" s="84"/>
      <c r="J3" s="87" t="s">
        <v>124</v>
      </c>
      <c r="K3" s="88"/>
      <c r="L3" s="91" t="s">
        <v>18</v>
      </c>
      <c r="M3" s="92"/>
      <c r="N3" s="92"/>
      <c r="O3" s="93"/>
    </row>
    <row r="4" spans="2:15" ht="39" thickBot="1" x14ac:dyDescent="0.3">
      <c r="B4" s="80" t="s">
        <v>66</v>
      </c>
      <c r="C4" s="19" t="s">
        <v>29</v>
      </c>
      <c r="D4" s="19" t="s">
        <v>32</v>
      </c>
      <c r="E4" s="19" t="s">
        <v>35</v>
      </c>
      <c r="F4" s="81" t="s">
        <v>38</v>
      </c>
      <c r="G4" s="85" t="s">
        <v>40</v>
      </c>
      <c r="H4" s="76" t="s">
        <v>43</v>
      </c>
      <c r="I4" s="86" t="s">
        <v>46</v>
      </c>
      <c r="J4" s="89" t="s">
        <v>48</v>
      </c>
      <c r="K4" s="90" t="s">
        <v>51</v>
      </c>
      <c r="L4" s="94" t="s">
        <v>53</v>
      </c>
      <c r="M4" s="20" t="s">
        <v>56</v>
      </c>
      <c r="N4" s="20" t="s">
        <v>58</v>
      </c>
      <c r="O4" s="95" t="s">
        <v>61</v>
      </c>
    </row>
    <row r="5" spans="2:15" ht="24" customHeight="1" x14ac:dyDescent="0.25">
      <c r="B5" s="21">
        <v>1</v>
      </c>
      <c r="C5" s="22">
        <v>46286</v>
      </c>
      <c r="D5" s="23">
        <v>0.38541666666666669</v>
      </c>
      <c r="E5" s="24" t="s">
        <v>37</v>
      </c>
      <c r="F5" s="25">
        <v>5</v>
      </c>
      <c r="G5" s="24" t="s">
        <v>42</v>
      </c>
      <c r="H5" s="24" t="s">
        <v>106</v>
      </c>
      <c r="I5" s="24" t="s">
        <v>42</v>
      </c>
      <c r="J5" s="24" t="s">
        <v>50</v>
      </c>
      <c r="K5" s="26">
        <v>500</v>
      </c>
      <c r="L5" s="24" t="s">
        <v>55</v>
      </c>
      <c r="M5" s="24" t="s">
        <v>57</v>
      </c>
      <c r="N5" s="75" t="s">
        <v>125</v>
      </c>
      <c r="O5" s="75" t="s">
        <v>126</v>
      </c>
    </row>
    <row r="6" spans="2:15" ht="24" customHeight="1" x14ac:dyDescent="0.25">
      <c r="B6" s="28" t="str">
        <f t="shared" ref="B6:B36" si="0">IF(C6="","",ROW()-5)</f>
        <v/>
      </c>
      <c r="C6" s="29"/>
      <c r="D6" s="30"/>
      <c r="E6" s="31"/>
      <c r="F6" s="32"/>
      <c r="G6" s="31"/>
      <c r="H6" s="31"/>
      <c r="I6" s="31"/>
      <c r="J6" s="31"/>
      <c r="K6" s="33"/>
      <c r="L6" s="31"/>
      <c r="M6" s="31"/>
      <c r="N6" s="34"/>
      <c r="O6" s="34"/>
    </row>
    <row r="7" spans="2:15" ht="24" customHeight="1" x14ac:dyDescent="0.25">
      <c r="B7" s="21" t="str">
        <f t="shared" si="0"/>
        <v/>
      </c>
      <c r="C7" s="22"/>
      <c r="D7" s="23"/>
      <c r="E7" s="24"/>
      <c r="F7" s="25"/>
      <c r="G7" s="24"/>
      <c r="H7" s="24"/>
      <c r="I7" s="24"/>
      <c r="J7" s="24"/>
      <c r="K7" s="26"/>
      <c r="L7" s="24"/>
      <c r="M7" s="24"/>
      <c r="N7" s="27"/>
      <c r="O7" s="27"/>
    </row>
    <row r="8" spans="2:15" ht="24" customHeight="1" x14ac:dyDescent="0.25">
      <c r="B8" s="28" t="str">
        <f t="shared" si="0"/>
        <v/>
      </c>
      <c r="C8" s="29"/>
      <c r="D8" s="30"/>
      <c r="E8" s="31"/>
      <c r="F8" s="32"/>
      <c r="G8" s="31"/>
      <c r="H8" s="31"/>
      <c r="I8" s="31"/>
      <c r="J8" s="31"/>
      <c r="K8" s="33"/>
      <c r="L8" s="31"/>
      <c r="M8" s="31"/>
      <c r="N8" s="34"/>
      <c r="O8" s="34"/>
    </row>
    <row r="9" spans="2:15" ht="24" customHeight="1" x14ac:dyDescent="0.25">
      <c r="B9" s="21" t="str">
        <f t="shared" si="0"/>
        <v/>
      </c>
      <c r="C9" s="22"/>
      <c r="D9" s="23"/>
      <c r="E9" s="24"/>
      <c r="F9" s="25"/>
      <c r="G9" s="24"/>
      <c r="H9" s="24"/>
      <c r="I9" s="24"/>
      <c r="J9" s="24"/>
      <c r="K9" s="26"/>
      <c r="L9" s="24"/>
      <c r="M9" s="24"/>
      <c r="N9" s="27"/>
      <c r="O9" s="27"/>
    </row>
    <row r="10" spans="2:15" ht="24" customHeight="1" x14ac:dyDescent="0.25">
      <c r="B10" s="28" t="str">
        <f t="shared" si="0"/>
        <v/>
      </c>
      <c r="C10" s="29"/>
      <c r="D10" s="30"/>
      <c r="E10" s="31"/>
      <c r="F10" s="32"/>
      <c r="G10" s="31"/>
      <c r="H10" s="31"/>
      <c r="I10" s="31"/>
      <c r="J10" s="31"/>
      <c r="K10" s="33"/>
      <c r="L10" s="31"/>
      <c r="M10" s="31"/>
      <c r="N10" s="34"/>
      <c r="O10" s="34"/>
    </row>
    <row r="11" spans="2:15" ht="24" customHeight="1" x14ac:dyDescent="0.25">
      <c r="B11" s="21" t="str">
        <f t="shared" si="0"/>
        <v/>
      </c>
      <c r="C11" s="22"/>
      <c r="D11" s="23"/>
      <c r="E11" s="24"/>
      <c r="F11" s="25"/>
      <c r="G11" s="24"/>
      <c r="H11" s="24"/>
      <c r="I11" s="24"/>
      <c r="J11" s="24"/>
      <c r="K11" s="26"/>
      <c r="L11" s="24"/>
      <c r="M11" s="24"/>
      <c r="N11" s="27"/>
      <c r="O11" s="27"/>
    </row>
    <row r="12" spans="2:15" ht="24" customHeight="1" x14ac:dyDescent="0.25">
      <c r="B12" s="28" t="str">
        <f t="shared" si="0"/>
        <v/>
      </c>
      <c r="C12" s="29"/>
      <c r="D12" s="30"/>
      <c r="E12" s="31"/>
      <c r="F12" s="32"/>
      <c r="G12" s="31"/>
      <c r="H12" s="31"/>
      <c r="I12" s="31"/>
      <c r="J12" s="31"/>
      <c r="K12" s="33"/>
      <c r="L12" s="31"/>
      <c r="M12" s="31"/>
      <c r="N12" s="34"/>
      <c r="O12" s="34"/>
    </row>
    <row r="13" spans="2:15" ht="24" customHeight="1" x14ac:dyDescent="0.25">
      <c r="B13" s="21" t="str">
        <f t="shared" si="0"/>
        <v/>
      </c>
      <c r="C13" s="22"/>
      <c r="D13" s="23"/>
      <c r="E13" s="24"/>
      <c r="F13" s="25"/>
      <c r="G13" s="24"/>
      <c r="H13" s="24"/>
      <c r="I13" s="24"/>
      <c r="J13" s="24"/>
      <c r="K13" s="26"/>
      <c r="L13" s="24"/>
      <c r="M13" s="24"/>
      <c r="N13" s="27"/>
      <c r="O13" s="27"/>
    </row>
    <row r="14" spans="2:15" ht="24" customHeight="1" x14ac:dyDescent="0.25">
      <c r="B14" s="28" t="str">
        <f t="shared" si="0"/>
        <v/>
      </c>
      <c r="C14" s="29"/>
      <c r="D14" s="30"/>
      <c r="E14" s="31"/>
      <c r="F14" s="32"/>
      <c r="G14" s="31"/>
      <c r="H14" s="31"/>
      <c r="I14" s="31"/>
      <c r="J14" s="31"/>
      <c r="K14" s="33"/>
      <c r="L14" s="31"/>
      <c r="M14" s="31"/>
      <c r="N14" s="34"/>
      <c r="O14" s="34"/>
    </row>
    <row r="15" spans="2:15" ht="24" customHeight="1" x14ac:dyDescent="0.25">
      <c r="B15" s="21" t="str">
        <f t="shared" si="0"/>
        <v/>
      </c>
      <c r="C15" s="22"/>
      <c r="D15" s="23"/>
      <c r="E15" s="24"/>
      <c r="F15" s="25"/>
      <c r="G15" s="24"/>
      <c r="H15" s="24"/>
      <c r="I15" s="24"/>
      <c r="J15" s="24"/>
      <c r="K15" s="26"/>
      <c r="L15" s="24"/>
      <c r="M15" s="24"/>
      <c r="N15" s="27"/>
      <c r="O15" s="27"/>
    </row>
    <row r="16" spans="2:15" ht="24" customHeight="1" x14ac:dyDescent="0.25">
      <c r="B16" s="28" t="str">
        <f t="shared" si="0"/>
        <v/>
      </c>
      <c r="C16" s="29"/>
      <c r="D16" s="30"/>
      <c r="E16" s="31"/>
      <c r="F16" s="32"/>
      <c r="G16" s="31"/>
      <c r="H16" s="31"/>
      <c r="I16" s="31"/>
      <c r="J16" s="31"/>
      <c r="K16" s="33"/>
      <c r="L16" s="31"/>
      <c r="M16" s="31"/>
      <c r="N16" s="34"/>
      <c r="O16" s="34"/>
    </row>
    <row r="17" spans="2:15" ht="24" customHeight="1" x14ac:dyDescent="0.25">
      <c r="B17" s="21" t="str">
        <f t="shared" si="0"/>
        <v/>
      </c>
      <c r="C17" s="22"/>
      <c r="D17" s="23"/>
      <c r="E17" s="24"/>
      <c r="F17" s="25"/>
      <c r="G17" s="24"/>
      <c r="H17" s="24"/>
      <c r="I17" s="24"/>
      <c r="J17" s="24"/>
      <c r="K17" s="26"/>
      <c r="L17" s="24"/>
      <c r="M17" s="24"/>
      <c r="N17" s="27"/>
      <c r="O17" s="27"/>
    </row>
    <row r="18" spans="2:15" ht="24" customHeight="1" x14ac:dyDescent="0.25">
      <c r="B18" s="28" t="str">
        <f t="shared" si="0"/>
        <v/>
      </c>
      <c r="C18" s="29"/>
      <c r="D18" s="30"/>
      <c r="E18" s="31"/>
      <c r="F18" s="32"/>
      <c r="G18" s="31"/>
      <c r="H18" s="31"/>
      <c r="I18" s="31"/>
      <c r="J18" s="31"/>
      <c r="K18" s="33"/>
      <c r="L18" s="31"/>
      <c r="M18" s="31"/>
      <c r="N18" s="34"/>
      <c r="O18" s="34"/>
    </row>
    <row r="19" spans="2:15" ht="24" customHeight="1" x14ac:dyDescent="0.25">
      <c r="B19" s="21" t="str">
        <f t="shared" si="0"/>
        <v/>
      </c>
      <c r="C19" s="22"/>
      <c r="D19" s="23"/>
      <c r="E19" s="24"/>
      <c r="F19" s="25"/>
      <c r="G19" s="24"/>
      <c r="H19" s="24"/>
      <c r="I19" s="24"/>
      <c r="J19" s="24"/>
      <c r="K19" s="26"/>
      <c r="L19" s="24"/>
      <c r="M19" s="24"/>
      <c r="N19" s="27"/>
      <c r="O19" s="27"/>
    </row>
    <row r="20" spans="2:15" ht="24" customHeight="1" x14ac:dyDescent="0.25">
      <c r="B20" s="28" t="str">
        <f t="shared" si="0"/>
        <v/>
      </c>
      <c r="C20" s="29"/>
      <c r="D20" s="30"/>
      <c r="E20" s="31"/>
      <c r="F20" s="32"/>
      <c r="G20" s="31"/>
      <c r="H20" s="31"/>
      <c r="I20" s="31"/>
      <c r="J20" s="31"/>
      <c r="K20" s="33"/>
      <c r="L20" s="31"/>
      <c r="M20" s="31"/>
      <c r="N20" s="34"/>
      <c r="O20" s="34"/>
    </row>
    <row r="21" spans="2:15" ht="24" customHeight="1" x14ac:dyDescent="0.25">
      <c r="B21" s="21" t="str">
        <f t="shared" si="0"/>
        <v/>
      </c>
      <c r="C21" s="22"/>
      <c r="D21" s="23"/>
      <c r="E21" s="24"/>
      <c r="F21" s="25"/>
      <c r="G21" s="24"/>
      <c r="H21" s="24"/>
      <c r="I21" s="24"/>
      <c r="J21" s="24"/>
      <c r="K21" s="26"/>
      <c r="L21" s="24"/>
      <c r="M21" s="24"/>
      <c r="N21" s="27"/>
      <c r="O21" s="27"/>
    </row>
    <row r="22" spans="2:15" ht="24" customHeight="1" x14ac:dyDescent="0.25">
      <c r="B22" s="28" t="str">
        <f t="shared" si="0"/>
        <v/>
      </c>
      <c r="C22" s="29"/>
      <c r="D22" s="30"/>
      <c r="E22" s="31"/>
      <c r="F22" s="32"/>
      <c r="G22" s="31"/>
      <c r="H22" s="31"/>
      <c r="I22" s="31"/>
      <c r="J22" s="31"/>
      <c r="K22" s="33"/>
      <c r="L22" s="31"/>
      <c r="M22" s="31"/>
      <c r="N22" s="34"/>
      <c r="O22" s="34"/>
    </row>
    <row r="23" spans="2:15" ht="24" customHeight="1" x14ac:dyDescent="0.25">
      <c r="B23" s="21" t="str">
        <f t="shared" si="0"/>
        <v/>
      </c>
      <c r="C23" s="22"/>
      <c r="D23" s="23"/>
      <c r="E23" s="24"/>
      <c r="F23" s="25"/>
      <c r="G23" s="24"/>
      <c r="H23" s="24"/>
      <c r="I23" s="24"/>
      <c r="J23" s="24"/>
      <c r="K23" s="26"/>
      <c r="L23" s="24"/>
      <c r="M23" s="24"/>
      <c r="N23" s="27"/>
      <c r="O23" s="27"/>
    </row>
    <row r="24" spans="2:15" ht="24" customHeight="1" x14ac:dyDescent="0.25">
      <c r="B24" s="28" t="str">
        <f t="shared" si="0"/>
        <v/>
      </c>
      <c r="C24" s="29"/>
      <c r="D24" s="30"/>
      <c r="E24" s="31"/>
      <c r="F24" s="32"/>
      <c r="G24" s="31"/>
      <c r="H24" s="31"/>
      <c r="I24" s="31"/>
      <c r="J24" s="31"/>
      <c r="K24" s="33"/>
      <c r="L24" s="31"/>
      <c r="M24" s="31"/>
      <c r="N24" s="34"/>
      <c r="O24" s="34"/>
    </row>
    <row r="25" spans="2:15" ht="24" customHeight="1" x14ac:dyDescent="0.25">
      <c r="B25" s="21" t="str">
        <f t="shared" si="0"/>
        <v/>
      </c>
      <c r="C25" s="22"/>
      <c r="D25" s="23"/>
      <c r="E25" s="24"/>
      <c r="F25" s="25"/>
      <c r="G25" s="24"/>
      <c r="H25" s="24"/>
      <c r="I25" s="24"/>
      <c r="J25" s="24"/>
      <c r="K25" s="26"/>
      <c r="L25" s="24"/>
      <c r="M25" s="24"/>
      <c r="N25" s="27"/>
      <c r="O25" s="27"/>
    </row>
    <row r="26" spans="2:15" ht="24" customHeight="1" x14ac:dyDescent="0.25">
      <c r="B26" s="28" t="str">
        <f t="shared" si="0"/>
        <v/>
      </c>
      <c r="C26" s="29"/>
      <c r="D26" s="30"/>
      <c r="E26" s="31"/>
      <c r="F26" s="32"/>
      <c r="G26" s="31"/>
      <c r="H26" s="31"/>
      <c r="I26" s="31"/>
      <c r="J26" s="31"/>
      <c r="K26" s="33"/>
      <c r="L26" s="31"/>
      <c r="M26" s="31"/>
      <c r="N26" s="34"/>
      <c r="O26" s="34"/>
    </row>
    <row r="27" spans="2:15" ht="24" customHeight="1" x14ac:dyDescent="0.25">
      <c r="B27" s="21" t="str">
        <f t="shared" si="0"/>
        <v/>
      </c>
      <c r="C27" s="22"/>
      <c r="D27" s="23"/>
      <c r="E27" s="24"/>
      <c r="F27" s="25"/>
      <c r="G27" s="24"/>
      <c r="H27" s="24"/>
      <c r="I27" s="24"/>
      <c r="J27" s="24"/>
      <c r="K27" s="26"/>
      <c r="L27" s="24"/>
      <c r="M27" s="24"/>
      <c r="N27" s="27"/>
      <c r="O27" s="27"/>
    </row>
    <row r="28" spans="2:15" ht="24" customHeight="1" x14ac:dyDescent="0.25">
      <c r="B28" s="28" t="str">
        <f t="shared" si="0"/>
        <v/>
      </c>
      <c r="C28" s="29"/>
      <c r="D28" s="30"/>
      <c r="E28" s="31"/>
      <c r="F28" s="32"/>
      <c r="G28" s="31"/>
      <c r="H28" s="31"/>
      <c r="I28" s="31"/>
      <c r="J28" s="31"/>
      <c r="K28" s="33"/>
      <c r="L28" s="31"/>
      <c r="M28" s="31"/>
      <c r="N28" s="34"/>
      <c r="O28" s="34"/>
    </row>
    <row r="29" spans="2:15" ht="24" customHeight="1" x14ac:dyDescent="0.25">
      <c r="B29" s="21" t="str">
        <f t="shared" si="0"/>
        <v/>
      </c>
      <c r="C29" s="22"/>
      <c r="D29" s="23"/>
      <c r="E29" s="24"/>
      <c r="F29" s="25"/>
      <c r="G29" s="24"/>
      <c r="H29" s="24"/>
      <c r="I29" s="24"/>
      <c r="J29" s="24"/>
      <c r="K29" s="26"/>
      <c r="L29" s="24"/>
      <c r="M29" s="24"/>
      <c r="N29" s="27"/>
      <c r="O29" s="27"/>
    </row>
    <row r="30" spans="2:15" ht="24" customHeight="1" x14ac:dyDescent="0.25">
      <c r="B30" s="28" t="str">
        <f t="shared" si="0"/>
        <v/>
      </c>
      <c r="C30" s="29"/>
      <c r="D30" s="30"/>
      <c r="E30" s="31"/>
      <c r="F30" s="32"/>
      <c r="G30" s="31"/>
      <c r="H30" s="31"/>
      <c r="I30" s="31"/>
      <c r="J30" s="31"/>
      <c r="K30" s="33"/>
      <c r="L30" s="31"/>
      <c r="M30" s="31"/>
      <c r="N30" s="34"/>
      <c r="O30" s="34"/>
    </row>
    <row r="31" spans="2:15" ht="24" customHeight="1" x14ac:dyDescent="0.25">
      <c r="B31" s="21" t="str">
        <f t="shared" si="0"/>
        <v/>
      </c>
      <c r="C31" s="22"/>
      <c r="D31" s="23"/>
      <c r="E31" s="24"/>
      <c r="F31" s="25"/>
      <c r="G31" s="24"/>
      <c r="H31" s="24"/>
      <c r="I31" s="24"/>
      <c r="J31" s="24"/>
      <c r="K31" s="26"/>
      <c r="L31" s="24"/>
      <c r="M31" s="24"/>
      <c r="N31" s="27"/>
      <c r="O31" s="27"/>
    </row>
    <row r="32" spans="2:15" ht="24" customHeight="1" x14ac:dyDescent="0.25">
      <c r="B32" s="28" t="str">
        <f t="shared" si="0"/>
        <v/>
      </c>
      <c r="C32" s="29"/>
      <c r="D32" s="30"/>
      <c r="E32" s="31"/>
      <c r="F32" s="32"/>
      <c r="G32" s="31"/>
      <c r="H32" s="31"/>
      <c r="I32" s="31"/>
      <c r="J32" s="31"/>
      <c r="K32" s="33"/>
      <c r="L32" s="31"/>
      <c r="M32" s="31"/>
      <c r="N32" s="34"/>
      <c r="O32" s="34"/>
    </row>
    <row r="33" spans="2:15" ht="24" customHeight="1" x14ac:dyDescent="0.25">
      <c r="B33" s="21" t="str">
        <f t="shared" si="0"/>
        <v/>
      </c>
      <c r="C33" s="22"/>
      <c r="D33" s="23"/>
      <c r="E33" s="24"/>
      <c r="F33" s="25"/>
      <c r="G33" s="24"/>
      <c r="H33" s="24"/>
      <c r="I33" s="24"/>
      <c r="J33" s="24"/>
      <c r="K33" s="26"/>
      <c r="L33" s="24"/>
      <c r="M33" s="24"/>
      <c r="N33" s="27"/>
      <c r="O33" s="27"/>
    </row>
    <row r="34" spans="2:15" ht="24" customHeight="1" x14ac:dyDescent="0.25">
      <c r="B34" s="28" t="str">
        <f t="shared" si="0"/>
        <v/>
      </c>
      <c r="C34" s="29"/>
      <c r="D34" s="30"/>
      <c r="E34" s="31"/>
      <c r="F34" s="32"/>
      <c r="G34" s="31"/>
      <c r="H34" s="31"/>
      <c r="I34" s="31"/>
      <c r="J34" s="31"/>
      <c r="K34" s="33"/>
      <c r="L34" s="31"/>
      <c r="M34" s="31"/>
      <c r="N34" s="34"/>
      <c r="O34" s="34"/>
    </row>
    <row r="35" spans="2:15" ht="24" customHeight="1" x14ac:dyDescent="0.25">
      <c r="B35" s="21" t="str">
        <f t="shared" si="0"/>
        <v/>
      </c>
      <c r="C35" s="22"/>
      <c r="D35" s="23"/>
      <c r="E35" s="24"/>
      <c r="F35" s="25"/>
      <c r="G35" s="24"/>
      <c r="H35" s="24"/>
      <c r="I35" s="24"/>
      <c r="J35" s="24"/>
      <c r="K35" s="26"/>
      <c r="L35" s="24"/>
      <c r="M35" s="24"/>
      <c r="N35" s="27"/>
      <c r="O35" s="27"/>
    </row>
    <row r="36" spans="2:15" ht="24" customHeight="1" x14ac:dyDescent="0.25">
      <c r="B36" s="28" t="str">
        <f t="shared" si="0"/>
        <v/>
      </c>
      <c r="C36" s="29"/>
      <c r="D36" s="30"/>
      <c r="E36" s="31"/>
      <c r="F36" s="32"/>
      <c r="G36" s="31"/>
      <c r="H36" s="31"/>
      <c r="I36" s="31"/>
      <c r="J36" s="31"/>
      <c r="K36" s="33"/>
      <c r="L36" s="31"/>
      <c r="M36" s="31"/>
      <c r="N36" s="34"/>
      <c r="O36" s="34"/>
    </row>
    <row r="37" spans="2:15" ht="24" customHeight="1" x14ac:dyDescent="0.25">
      <c r="B37" s="21" t="str">
        <f t="shared" ref="B37:B68" si="1">IF(C37="","",ROW()-5)</f>
        <v/>
      </c>
      <c r="C37" s="22"/>
      <c r="D37" s="23"/>
      <c r="E37" s="24"/>
      <c r="F37" s="25"/>
      <c r="G37" s="24"/>
      <c r="H37" s="24"/>
      <c r="I37" s="24"/>
      <c r="J37" s="24"/>
      <c r="K37" s="26"/>
      <c r="L37" s="24"/>
      <c r="M37" s="24"/>
      <c r="N37" s="27"/>
      <c r="O37" s="27"/>
    </row>
    <row r="38" spans="2:15" ht="24" customHeight="1" x14ac:dyDescent="0.25">
      <c r="B38" s="28" t="str">
        <f t="shared" si="1"/>
        <v/>
      </c>
      <c r="C38" s="29"/>
      <c r="D38" s="30"/>
      <c r="E38" s="31"/>
      <c r="F38" s="32"/>
      <c r="G38" s="31"/>
      <c r="H38" s="31"/>
      <c r="I38" s="31"/>
      <c r="J38" s="31"/>
      <c r="K38" s="33"/>
      <c r="L38" s="31"/>
      <c r="M38" s="31"/>
      <c r="N38" s="34"/>
      <c r="O38" s="34"/>
    </row>
    <row r="39" spans="2:15" ht="24" customHeight="1" x14ac:dyDescent="0.25">
      <c r="B39" s="21" t="str">
        <f t="shared" si="1"/>
        <v/>
      </c>
      <c r="C39" s="22"/>
      <c r="D39" s="23"/>
      <c r="E39" s="24"/>
      <c r="F39" s="25"/>
      <c r="G39" s="24"/>
      <c r="H39" s="24"/>
      <c r="I39" s="24"/>
      <c r="J39" s="24"/>
      <c r="K39" s="26"/>
      <c r="L39" s="24"/>
      <c r="M39" s="24"/>
      <c r="N39" s="27"/>
      <c r="O39" s="27"/>
    </row>
    <row r="40" spans="2:15" ht="24" customHeight="1" x14ac:dyDescent="0.25">
      <c r="B40" s="28" t="str">
        <f t="shared" si="1"/>
        <v/>
      </c>
      <c r="C40" s="29"/>
      <c r="D40" s="30"/>
      <c r="E40" s="31"/>
      <c r="F40" s="32"/>
      <c r="G40" s="31"/>
      <c r="H40" s="31"/>
      <c r="I40" s="31"/>
      <c r="J40" s="31"/>
      <c r="K40" s="33"/>
      <c r="L40" s="31"/>
      <c r="M40" s="31"/>
      <c r="N40" s="34"/>
      <c r="O40" s="34"/>
    </row>
    <row r="41" spans="2:15" ht="24" customHeight="1" x14ac:dyDescent="0.25">
      <c r="B41" s="21" t="str">
        <f t="shared" si="1"/>
        <v/>
      </c>
      <c r="C41" s="22"/>
      <c r="D41" s="23"/>
      <c r="E41" s="24"/>
      <c r="F41" s="25"/>
      <c r="G41" s="24"/>
      <c r="H41" s="24"/>
      <c r="I41" s="24"/>
      <c r="J41" s="24"/>
      <c r="K41" s="26"/>
      <c r="L41" s="24"/>
      <c r="M41" s="24"/>
      <c r="N41" s="27"/>
      <c r="O41" s="27"/>
    </row>
    <row r="42" spans="2:15" ht="24" customHeight="1" x14ac:dyDescent="0.25">
      <c r="B42" s="28" t="str">
        <f t="shared" si="1"/>
        <v/>
      </c>
      <c r="C42" s="29"/>
      <c r="D42" s="30"/>
      <c r="E42" s="31"/>
      <c r="F42" s="32"/>
      <c r="G42" s="31"/>
      <c r="H42" s="31"/>
      <c r="I42" s="31"/>
      <c r="J42" s="31"/>
      <c r="K42" s="33"/>
      <c r="L42" s="31"/>
      <c r="M42" s="31"/>
      <c r="N42" s="34"/>
      <c r="O42" s="34"/>
    </row>
    <row r="43" spans="2:15" ht="24" customHeight="1" x14ac:dyDescent="0.25">
      <c r="B43" s="21" t="str">
        <f t="shared" si="1"/>
        <v/>
      </c>
      <c r="C43" s="22"/>
      <c r="D43" s="23"/>
      <c r="E43" s="24"/>
      <c r="F43" s="25"/>
      <c r="G43" s="24"/>
      <c r="H43" s="24"/>
      <c r="I43" s="24"/>
      <c r="J43" s="24"/>
      <c r="K43" s="26"/>
      <c r="L43" s="24"/>
      <c r="M43" s="24"/>
      <c r="N43" s="27"/>
      <c r="O43" s="27"/>
    </row>
    <row r="44" spans="2:15" ht="24" customHeight="1" x14ac:dyDescent="0.25">
      <c r="B44" s="28" t="str">
        <f t="shared" si="1"/>
        <v/>
      </c>
      <c r="C44" s="29"/>
      <c r="D44" s="30"/>
      <c r="E44" s="31"/>
      <c r="F44" s="32"/>
      <c r="G44" s="31"/>
      <c r="H44" s="31"/>
      <c r="I44" s="31"/>
      <c r="J44" s="31"/>
      <c r="K44" s="33"/>
      <c r="L44" s="31"/>
      <c r="M44" s="31"/>
      <c r="N44" s="34"/>
      <c r="O44" s="34"/>
    </row>
    <row r="45" spans="2:15" ht="24" customHeight="1" x14ac:dyDescent="0.25">
      <c r="B45" s="21" t="str">
        <f t="shared" si="1"/>
        <v/>
      </c>
      <c r="C45" s="22"/>
      <c r="D45" s="23"/>
      <c r="E45" s="24"/>
      <c r="F45" s="25"/>
      <c r="G45" s="24"/>
      <c r="H45" s="24"/>
      <c r="I45" s="24"/>
      <c r="J45" s="24"/>
      <c r="K45" s="26"/>
      <c r="L45" s="24"/>
      <c r="M45" s="24"/>
      <c r="N45" s="27"/>
      <c r="O45" s="27"/>
    </row>
    <row r="46" spans="2:15" ht="24" customHeight="1" x14ac:dyDescent="0.25">
      <c r="B46" s="28" t="str">
        <f t="shared" si="1"/>
        <v/>
      </c>
      <c r="C46" s="29"/>
      <c r="D46" s="30"/>
      <c r="E46" s="31"/>
      <c r="F46" s="32"/>
      <c r="G46" s="31"/>
      <c r="H46" s="31"/>
      <c r="I46" s="31"/>
      <c r="J46" s="31"/>
      <c r="K46" s="33"/>
      <c r="L46" s="31"/>
      <c r="M46" s="31"/>
      <c r="N46" s="34"/>
      <c r="O46" s="34"/>
    </row>
    <row r="47" spans="2:15" ht="24" customHeight="1" x14ac:dyDescent="0.25">
      <c r="B47" s="21" t="str">
        <f t="shared" si="1"/>
        <v/>
      </c>
      <c r="C47" s="22"/>
      <c r="D47" s="23"/>
      <c r="E47" s="24"/>
      <c r="F47" s="25"/>
      <c r="G47" s="24"/>
      <c r="H47" s="24"/>
      <c r="I47" s="24"/>
      <c r="J47" s="24"/>
      <c r="K47" s="26"/>
      <c r="L47" s="24"/>
      <c r="M47" s="24"/>
      <c r="N47" s="27"/>
      <c r="O47" s="27"/>
    </row>
    <row r="48" spans="2:15" ht="24" customHeight="1" x14ac:dyDescent="0.25">
      <c r="B48" s="28" t="str">
        <f t="shared" si="1"/>
        <v/>
      </c>
      <c r="C48" s="29"/>
      <c r="D48" s="30"/>
      <c r="E48" s="31"/>
      <c r="F48" s="32"/>
      <c r="G48" s="31"/>
      <c r="H48" s="31"/>
      <c r="I48" s="31"/>
      <c r="J48" s="31"/>
      <c r="K48" s="33"/>
      <c r="L48" s="31"/>
      <c r="M48" s="31"/>
      <c r="N48" s="34"/>
      <c r="O48" s="34"/>
    </row>
    <row r="49" spans="2:15" ht="24" customHeight="1" x14ac:dyDescent="0.25">
      <c r="B49" s="21" t="str">
        <f t="shared" si="1"/>
        <v/>
      </c>
      <c r="C49" s="22"/>
      <c r="D49" s="23"/>
      <c r="E49" s="24"/>
      <c r="F49" s="25"/>
      <c r="G49" s="24"/>
      <c r="H49" s="24"/>
      <c r="I49" s="24"/>
      <c r="J49" s="24"/>
      <c r="K49" s="26"/>
      <c r="L49" s="24"/>
      <c r="M49" s="24"/>
      <c r="N49" s="27"/>
      <c r="O49" s="27"/>
    </row>
    <row r="50" spans="2:15" ht="24" customHeight="1" x14ac:dyDescent="0.25">
      <c r="B50" s="28" t="str">
        <f t="shared" si="1"/>
        <v/>
      </c>
      <c r="C50" s="29"/>
      <c r="D50" s="30"/>
      <c r="E50" s="31"/>
      <c r="F50" s="32"/>
      <c r="G50" s="31"/>
      <c r="H50" s="31"/>
      <c r="I50" s="31"/>
      <c r="J50" s="31"/>
      <c r="K50" s="33"/>
      <c r="L50" s="31"/>
      <c r="M50" s="31"/>
      <c r="N50" s="34"/>
      <c r="O50" s="34"/>
    </row>
    <row r="51" spans="2:15" ht="24" customHeight="1" x14ac:dyDescent="0.25">
      <c r="B51" s="21" t="str">
        <f t="shared" si="1"/>
        <v/>
      </c>
      <c r="C51" s="22"/>
      <c r="D51" s="23"/>
      <c r="E51" s="24"/>
      <c r="F51" s="25"/>
      <c r="G51" s="24"/>
      <c r="H51" s="24"/>
      <c r="I51" s="24"/>
      <c r="J51" s="24"/>
      <c r="K51" s="26"/>
      <c r="L51" s="24"/>
      <c r="M51" s="24"/>
      <c r="N51" s="27"/>
      <c r="O51" s="27"/>
    </row>
    <row r="52" spans="2:15" ht="24" customHeight="1" x14ac:dyDescent="0.25">
      <c r="B52" s="28" t="str">
        <f t="shared" si="1"/>
        <v/>
      </c>
      <c r="C52" s="29"/>
      <c r="D52" s="30"/>
      <c r="E52" s="31"/>
      <c r="F52" s="32"/>
      <c r="G52" s="31"/>
      <c r="H52" s="31"/>
      <c r="I52" s="31"/>
      <c r="J52" s="31"/>
      <c r="K52" s="33"/>
      <c r="L52" s="31"/>
      <c r="M52" s="31"/>
      <c r="N52" s="34"/>
      <c r="O52" s="34"/>
    </row>
    <row r="53" spans="2:15" ht="24" customHeight="1" x14ac:dyDescent="0.25">
      <c r="B53" s="21" t="str">
        <f t="shared" si="1"/>
        <v/>
      </c>
      <c r="C53" s="22"/>
      <c r="D53" s="23"/>
      <c r="E53" s="24"/>
      <c r="F53" s="25"/>
      <c r="G53" s="24"/>
      <c r="H53" s="24"/>
      <c r="I53" s="24"/>
      <c r="J53" s="24"/>
      <c r="K53" s="26"/>
      <c r="L53" s="24"/>
      <c r="M53" s="24"/>
      <c r="N53" s="27"/>
      <c r="O53" s="27"/>
    </row>
    <row r="54" spans="2:15" ht="24" customHeight="1" x14ac:dyDescent="0.25">
      <c r="B54" s="28" t="str">
        <f t="shared" si="1"/>
        <v/>
      </c>
      <c r="C54" s="29"/>
      <c r="D54" s="30"/>
      <c r="E54" s="31"/>
      <c r="F54" s="32"/>
      <c r="G54" s="31"/>
      <c r="H54" s="31"/>
      <c r="I54" s="31"/>
      <c r="J54" s="31"/>
      <c r="K54" s="33"/>
      <c r="L54" s="31"/>
      <c r="M54" s="31"/>
      <c r="N54" s="34"/>
      <c r="O54" s="34"/>
    </row>
    <row r="55" spans="2:15" ht="24" customHeight="1" x14ac:dyDescent="0.25">
      <c r="B55" s="21" t="str">
        <f t="shared" si="1"/>
        <v/>
      </c>
      <c r="C55" s="22"/>
      <c r="D55" s="23"/>
      <c r="E55" s="24"/>
      <c r="F55" s="25"/>
      <c r="G55" s="24"/>
      <c r="H55" s="24"/>
      <c r="I55" s="24"/>
      <c r="J55" s="24"/>
      <c r="K55" s="26"/>
      <c r="L55" s="24"/>
      <c r="M55" s="24"/>
      <c r="N55" s="27"/>
      <c r="O55" s="27"/>
    </row>
    <row r="56" spans="2:15" ht="24" customHeight="1" x14ac:dyDescent="0.25">
      <c r="B56" s="28" t="str">
        <f t="shared" si="1"/>
        <v/>
      </c>
      <c r="C56" s="29"/>
      <c r="D56" s="30"/>
      <c r="E56" s="31"/>
      <c r="F56" s="32"/>
      <c r="G56" s="31"/>
      <c r="H56" s="31"/>
      <c r="I56" s="31"/>
      <c r="J56" s="31"/>
      <c r="K56" s="33"/>
      <c r="L56" s="31"/>
      <c r="M56" s="31"/>
      <c r="N56" s="34"/>
      <c r="O56" s="34"/>
    </row>
    <row r="57" spans="2:15" ht="24" customHeight="1" x14ac:dyDescent="0.25">
      <c r="B57" s="21" t="str">
        <f t="shared" si="1"/>
        <v/>
      </c>
      <c r="C57" s="22"/>
      <c r="D57" s="23"/>
      <c r="E57" s="24"/>
      <c r="F57" s="25"/>
      <c r="G57" s="24"/>
      <c r="H57" s="24"/>
      <c r="I57" s="24"/>
      <c r="J57" s="24"/>
      <c r="K57" s="26"/>
      <c r="L57" s="24"/>
      <c r="M57" s="24"/>
      <c r="N57" s="27"/>
      <c r="O57" s="27"/>
    </row>
    <row r="58" spans="2:15" ht="24" customHeight="1" x14ac:dyDescent="0.25">
      <c r="B58" s="28" t="str">
        <f t="shared" si="1"/>
        <v/>
      </c>
      <c r="C58" s="29"/>
      <c r="D58" s="30"/>
      <c r="E58" s="31"/>
      <c r="F58" s="32"/>
      <c r="G58" s="31"/>
      <c r="H58" s="31"/>
      <c r="I58" s="31"/>
      <c r="J58" s="31"/>
      <c r="K58" s="33"/>
      <c r="L58" s="31"/>
      <c r="M58" s="31"/>
      <c r="N58" s="34"/>
      <c r="O58" s="34"/>
    </row>
    <row r="59" spans="2:15" ht="24" customHeight="1" x14ac:dyDescent="0.25">
      <c r="B59" s="21" t="str">
        <f t="shared" si="1"/>
        <v/>
      </c>
      <c r="C59" s="22"/>
      <c r="D59" s="23"/>
      <c r="E59" s="24"/>
      <c r="F59" s="25"/>
      <c r="G59" s="24"/>
      <c r="H59" s="24"/>
      <c r="I59" s="24"/>
      <c r="J59" s="24"/>
      <c r="K59" s="26"/>
      <c r="L59" s="24"/>
      <c r="M59" s="24"/>
      <c r="N59" s="27"/>
      <c r="O59" s="27"/>
    </row>
    <row r="60" spans="2:15" ht="24" customHeight="1" x14ac:dyDescent="0.25">
      <c r="B60" s="28" t="str">
        <f t="shared" si="1"/>
        <v/>
      </c>
      <c r="C60" s="29"/>
      <c r="D60" s="30"/>
      <c r="E60" s="31"/>
      <c r="F60" s="32"/>
      <c r="G60" s="31"/>
      <c r="H60" s="31"/>
      <c r="I60" s="31"/>
      <c r="J60" s="31"/>
      <c r="K60" s="33"/>
      <c r="L60" s="31"/>
      <c r="M60" s="31"/>
      <c r="N60" s="34"/>
      <c r="O60" s="34"/>
    </row>
    <row r="61" spans="2:15" ht="24" customHeight="1" x14ac:dyDescent="0.25">
      <c r="B61" s="21" t="str">
        <f t="shared" si="1"/>
        <v/>
      </c>
      <c r="C61" s="22"/>
      <c r="D61" s="23"/>
      <c r="E61" s="24"/>
      <c r="F61" s="25"/>
      <c r="G61" s="24"/>
      <c r="H61" s="24"/>
      <c r="I61" s="24"/>
      <c r="J61" s="24"/>
      <c r="K61" s="26"/>
      <c r="L61" s="24"/>
      <c r="M61" s="24"/>
      <c r="N61" s="27"/>
      <c r="O61" s="27"/>
    </row>
    <row r="62" spans="2:15" ht="24" customHeight="1" x14ac:dyDescent="0.25">
      <c r="B62" s="28" t="str">
        <f t="shared" si="1"/>
        <v/>
      </c>
      <c r="C62" s="29"/>
      <c r="D62" s="30"/>
      <c r="E62" s="31"/>
      <c r="F62" s="32"/>
      <c r="G62" s="31"/>
      <c r="H62" s="31"/>
      <c r="I62" s="31"/>
      <c r="J62" s="31"/>
      <c r="K62" s="33"/>
      <c r="L62" s="31"/>
      <c r="M62" s="31"/>
      <c r="N62" s="34"/>
      <c r="O62" s="34"/>
    </row>
    <row r="63" spans="2:15" ht="24" customHeight="1" x14ac:dyDescent="0.25">
      <c r="B63" s="21" t="str">
        <f t="shared" si="1"/>
        <v/>
      </c>
      <c r="C63" s="22"/>
      <c r="D63" s="23"/>
      <c r="E63" s="24"/>
      <c r="F63" s="25"/>
      <c r="G63" s="24"/>
      <c r="H63" s="24"/>
      <c r="I63" s="24"/>
      <c r="J63" s="24"/>
      <c r="K63" s="26"/>
      <c r="L63" s="24"/>
      <c r="M63" s="24"/>
      <c r="N63" s="27"/>
      <c r="O63" s="27"/>
    </row>
    <row r="64" spans="2:15" ht="24" customHeight="1" x14ac:dyDescent="0.25">
      <c r="B64" s="28" t="str">
        <f t="shared" si="1"/>
        <v/>
      </c>
      <c r="C64" s="29"/>
      <c r="D64" s="30"/>
      <c r="E64" s="31"/>
      <c r="F64" s="32"/>
      <c r="G64" s="31"/>
      <c r="H64" s="31"/>
      <c r="I64" s="31"/>
      <c r="J64" s="31"/>
      <c r="K64" s="33"/>
      <c r="L64" s="31"/>
      <c r="M64" s="31"/>
      <c r="N64" s="34"/>
      <c r="O64" s="34"/>
    </row>
    <row r="65" spans="2:15" ht="24" customHeight="1" x14ac:dyDescent="0.25">
      <c r="B65" s="21" t="str">
        <f t="shared" si="1"/>
        <v/>
      </c>
      <c r="C65" s="22"/>
      <c r="D65" s="23"/>
      <c r="E65" s="24"/>
      <c r="F65" s="25"/>
      <c r="G65" s="24"/>
      <c r="H65" s="24"/>
      <c r="I65" s="24"/>
      <c r="J65" s="24"/>
      <c r="K65" s="26"/>
      <c r="L65" s="24"/>
      <c r="M65" s="24"/>
      <c r="N65" s="27"/>
      <c r="O65" s="27"/>
    </row>
    <row r="66" spans="2:15" ht="24" customHeight="1" x14ac:dyDescent="0.25">
      <c r="B66" s="28" t="str">
        <f t="shared" si="1"/>
        <v/>
      </c>
      <c r="C66" s="29"/>
      <c r="D66" s="30"/>
      <c r="E66" s="31"/>
      <c r="F66" s="32"/>
      <c r="G66" s="31"/>
      <c r="H66" s="31"/>
      <c r="I66" s="31"/>
      <c r="J66" s="31"/>
      <c r="K66" s="33"/>
      <c r="L66" s="31"/>
      <c r="M66" s="31"/>
      <c r="N66" s="34"/>
      <c r="O66" s="34"/>
    </row>
    <row r="67" spans="2:15" ht="24" customHeight="1" x14ac:dyDescent="0.25">
      <c r="B67" s="21" t="str">
        <f t="shared" si="1"/>
        <v/>
      </c>
      <c r="C67" s="22"/>
      <c r="D67" s="23"/>
      <c r="E67" s="24"/>
      <c r="F67" s="25"/>
      <c r="G67" s="24"/>
      <c r="H67" s="24"/>
      <c r="I67" s="24"/>
      <c r="J67" s="24"/>
      <c r="K67" s="26"/>
      <c r="L67" s="24"/>
      <c r="M67" s="24"/>
      <c r="N67" s="27"/>
      <c r="O67" s="27"/>
    </row>
    <row r="68" spans="2:15" ht="24" customHeight="1" x14ac:dyDescent="0.25">
      <c r="B68" s="28" t="str">
        <f t="shared" si="1"/>
        <v/>
      </c>
      <c r="C68" s="29"/>
      <c r="D68" s="30"/>
      <c r="E68" s="31"/>
      <c r="F68" s="32"/>
      <c r="G68" s="31"/>
      <c r="H68" s="31"/>
      <c r="I68" s="31"/>
      <c r="J68" s="31"/>
      <c r="K68" s="33"/>
      <c r="L68" s="31"/>
      <c r="M68" s="31"/>
      <c r="N68" s="34"/>
      <c r="O68" s="34"/>
    </row>
    <row r="69" spans="2:15" ht="24" customHeight="1" x14ac:dyDescent="0.25">
      <c r="B69" s="21" t="str">
        <f t="shared" ref="B69:B100" si="2">IF(C69="","",ROW()-5)</f>
        <v/>
      </c>
      <c r="C69" s="22"/>
      <c r="D69" s="23"/>
      <c r="E69" s="24"/>
      <c r="F69" s="25"/>
      <c r="G69" s="24"/>
      <c r="H69" s="24"/>
      <c r="I69" s="24"/>
      <c r="J69" s="24"/>
      <c r="K69" s="26"/>
      <c r="L69" s="24"/>
      <c r="M69" s="24"/>
      <c r="N69" s="27"/>
      <c r="O69" s="27"/>
    </row>
    <row r="70" spans="2:15" ht="24" customHeight="1" x14ac:dyDescent="0.25">
      <c r="B70" s="28" t="str">
        <f t="shared" si="2"/>
        <v/>
      </c>
      <c r="C70" s="29"/>
      <c r="D70" s="30"/>
      <c r="E70" s="31"/>
      <c r="F70" s="32"/>
      <c r="G70" s="31"/>
      <c r="H70" s="31"/>
      <c r="I70" s="31"/>
      <c r="J70" s="31"/>
      <c r="K70" s="33"/>
      <c r="L70" s="31"/>
      <c r="M70" s="31"/>
      <c r="N70" s="34"/>
      <c r="O70" s="34"/>
    </row>
    <row r="71" spans="2:15" ht="24" customHeight="1" x14ac:dyDescent="0.25">
      <c r="B71" s="21" t="str">
        <f t="shared" si="2"/>
        <v/>
      </c>
      <c r="C71" s="22"/>
      <c r="D71" s="23"/>
      <c r="E71" s="24"/>
      <c r="F71" s="25"/>
      <c r="G71" s="24"/>
      <c r="H71" s="24"/>
      <c r="I71" s="24"/>
      <c r="J71" s="24"/>
      <c r="K71" s="26"/>
      <c r="L71" s="24"/>
      <c r="M71" s="24"/>
      <c r="N71" s="27"/>
      <c r="O71" s="27"/>
    </row>
    <row r="72" spans="2:15" ht="24" customHeight="1" x14ac:dyDescent="0.25">
      <c r="B72" s="28" t="str">
        <f t="shared" si="2"/>
        <v/>
      </c>
      <c r="C72" s="29"/>
      <c r="D72" s="30"/>
      <c r="E72" s="31"/>
      <c r="F72" s="32"/>
      <c r="G72" s="31"/>
      <c r="H72" s="31"/>
      <c r="I72" s="31"/>
      <c r="J72" s="31"/>
      <c r="K72" s="33"/>
      <c r="L72" s="31"/>
      <c r="M72" s="31"/>
      <c r="N72" s="34"/>
      <c r="O72" s="34"/>
    </row>
    <row r="73" spans="2:15" ht="24" customHeight="1" x14ac:dyDescent="0.25">
      <c r="B73" s="21" t="str">
        <f t="shared" si="2"/>
        <v/>
      </c>
      <c r="C73" s="22"/>
      <c r="D73" s="23"/>
      <c r="E73" s="24"/>
      <c r="F73" s="25"/>
      <c r="G73" s="24"/>
      <c r="H73" s="24"/>
      <c r="I73" s="24"/>
      <c r="J73" s="24"/>
      <c r="K73" s="26"/>
      <c r="L73" s="24"/>
      <c r="M73" s="24"/>
      <c r="N73" s="27"/>
      <c r="O73" s="27"/>
    </row>
    <row r="74" spans="2:15" ht="24" customHeight="1" x14ac:dyDescent="0.25">
      <c r="B74" s="28" t="str">
        <f t="shared" si="2"/>
        <v/>
      </c>
      <c r="C74" s="29"/>
      <c r="D74" s="30"/>
      <c r="E74" s="31"/>
      <c r="F74" s="32"/>
      <c r="G74" s="31"/>
      <c r="H74" s="31"/>
      <c r="I74" s="31"/>
      <c r="J74" s="31"/>
      <c r="K74" s="33"/>
      <c r="L74" s="31"/>
      <c r="M74" s="31"/>
      <c r="N74" s="34"/>
      <c r="O74" s="34"/>
    </row>
    <row r="75" spans="2:15" ht="24" customHeight="1" x14ac:dyDescent="0.25">
      <c r="B75" s="21" t="str">
        <f t="shared" si="2"/>
        <v/>
      </c>
      <c r="C75" s="22"/>
      <c r="D75" s="23"/>
      <c r="E75" s="24"/>
      <c r="F75" s="25"/>
      <c r="G75" s="24"/>
      <c r="H75" s="24"/>
      <c r="I75" s="24"/>
      <c r="J75" s="24"/>
      <c r="K75" s="26"/>
      <c r="L75" s="24"/>
      <c r="M75" s="24"/>
      <c r="N75" s="27"/>
      <c r="O75" s="27"/>
    </row>
    <row r="76" spans="2:15" ht="24" customHeight="1" x14ac:dyDescent="0.25">
      <c r="B76" s="28" t="str">
        <f t="shared" si="2"/>
        <v/>
      </c>
      <c r="C76" s="29"/>
      <c r="D76" s="30"/>
      <c r="E76" s="31"/>
      <c r="F76" s="32"/>
      <c r="G76" s="31"/>
      <c r="H76" s="31"/>
      <c r="I76" s="31"/>
      <c r="J76" s="31"/>
      <c r="K76" s="33"/>
      <c r="L76" s="31"/>
      <c r="M76" s="31"/>
      <c r="N76" s="34"/>
      <c r="O76" s="34"/>
    </row>
    <row r="77" spans="2:15" ht="24" customHeight="1" x14ac:dyDescent="0.25">
      <c r="B77" s="21" t="str">
        <f t="shared" si="2"/>
        <v/>
      </c>
      <c r="C77" s="22"/>
      <c r="D77" s="23"/>
      <c r="E77" s="24"/>
      <c r="F77" s="25"/>
      <c r="G77" s="24"/>
      <c r="H77" s="24"/>
      <c r="I77" s="24"/>
      <c r="J77" s="24"/>
      <c r="K77" s="26"/>
      <c r="L77" s="24"/>
      <c r="M77" s="24"/>
      <c r="N77" s="27"/>
      <c r="O77" s="27"/>
    </row>
    <row r="78" spans="2:15" ht="24" customHeight="1" x14ac:dyDescent="0.25">
      <c r="B78" s="28" t="str">
        <f t="shared" si="2"/>
        <v/>
      </c>
      <c r="C78" s="29"/>
      <c r="D78" s="30"/>
      <c r="E78" s="31"/>
      <c r="F78" s="32"/>
      <c r="G78" s="31"/>
      <c r="H78" s="31"/>
      <c r="I78" s="31"/>
      <c r="J78" s="31"/>
      <c r="K78" s="33"/>
      <c r="L78" s="31"/>
      <c r="M78" s="31"/>
      <c r="N78" s="34"/>
      <c r="O78" s="34"/>
    </row>
    <row r="79" spans="2:15" ht="24" customHeight="1" x14ac:dyDescent="0.25">
      <c r="B79" s="21" t="str">
        <f t="shared" si="2"/>
        <v/>
      </c>
      <c r="C79" s="22"/>
      <c r="D79" s="23"/>
      <c r="E79" s="24"/>
      <c r="F79" s="25"/>
      <c r="G79" s="24"/>
      <c r="H79" s="24"/>
      <c r="I79" s="24"/>
      <c r="J79" s="24"/>
      <c r="K79" s="26"/>
      <c r="L79" s="24"/>
      <c r="M79" s="24"/>
      <c r="N79" s="27"/>
      <c r="O79" s="27"/>
    </row>
    <row r="80" spans="2:15" ht="24" customHeight="1" x14ac:dyDescent="0.25">
      <c r="B80" s="28" t="str">
        <f t="shared" si="2"/>
        <v/>
      </c>
      <c r="C80" s="29"/>
      <c r="D80" s="30"/>
      <c r="E80" s="31"/>
      <c r="F80" s="32"/>
      <c r="G80" s="31"/>
      <c r="H80" s="31"/>
      <c r="I80" s="31"/>
      <c r="J80" s="31"/>
      <c r="K80" s="33"/>
      <c r="L80" s="31"/>
      <c r="M80" s="31"/>
      <c r="N80" s="34"/>
      <c r="O80" s="34"/>
    </row>
    <row r="81" spans="2:15" ht="24" customHeight="1" x14ac:dyDescent="0.25">
      <c r="B81" s="21" t="str">
        <f t="shared" si="2"/>
        <v/>
      </c>
      <c r="C81" s="22"/>
      <c r="D81" s="23"/>
      <c r="E81" s="24"/>
      <c r="F81" s="25"/>
      <c r="G81" s="24"/>
      <c r="H81" s="24"/>
      <c r="I81" s="24"/>
      <c r="J81" s="24"/>
      <c r="K81" s="26"/>
      <c r="L81" s="24"/>
      <c r="M81" s="24"/>
      <c r="N81" s="27"/>
      <c r="O81" s="27"/>
    </row>
    <row r="82" spans="2:15" ht="24" customHeight="1" x14ac:dyDescent="0.25">
      <c r="B82" s="28" t="str">
        <f t="shared" si="2"/>
        <v/>
      </c>
      <c r="C82" s="29"/>
      <c r="D82" s="30"/>
      <c r="E82" s="31"/>
      <c r="F82" s="32"/>
      <c r="G82" s="31"/>
      <c r="H82" s="31"/>
      <c r="I82" s="31"/>
      <c r="J82" s="31"/>
      <c r="K82" s="33"/>
      <c r="L82" s="31"/>
      <c r="M82" s="31"/>
      <c r="N82" s="34"/>
      <c r="O82" s="34"/>
    </row>
    <row r="83" spans="2:15" ht="24" customHeight="1" x14ac:dyDescent="0.25">
      <c r="B83" s="21" t="str">
        <f t="shared" si="2"/>
        <v/>
      </c>
      <c r="C83" s="22"/>
      <c r="D83" s="23"/>
      <c r="E83" s="24"/>
      <c r="F83" s="25"/>
      <c r="G83" s="24"/>
      <c r="H83" s="24"/>
      <c r="I83" s="24"/>
      <c r="J83" s="24"/>
      <c r="K83" s="26"/>
      <c r="L83" s="24"/>
      <c r="M83" s="24"/>
      <c r="N83" s="27"/>
      <c r="O83" s="27"/>
    </row>
    <row r="84" spans="2:15" ht="24" customHeight="1" x14ac:dyDescent="0.25">
      <c r="B84" s="28" t="str">
        <f t="shared" si="2"/>
        <v/>
      </c>
      <c r="C84" s="29"/>
      <c r="D84" s="30"/>
      <c r="E84" s="31"/>
      <c r="F84" s="32"/>
      <c r="G84" s="31"/>
      <c r="H84" s="31"/>
      <c r="I84" s="31"/>
      <c r="J84" s="31"/>
      <c r="K84" s="33"/>
      <c r="L84" s="31"/>
      <c r="M84" s="31"/>
      <c r="N84" s="34"/>
      <c r="O84" s="34"/>
    </row>
    <row r="85" spans="2:15" ht="24" customHeight="1" x14ac:dyDescent="0.25">
      <c r="B85" s="21" t="str">
        <f t="shared" si="2"/>
        <v/>
      </c>
      <c r="C85" s="22"/>
      <c r="D85" s="23"/>
      <c r="E85" s="24"/>
      <c r="F85" s="25"/>
      <c r="G85" s="24"/>
      <c r="H85" s="24"/>
      <c r="I85" s="24"/>
      <c r="J85" s="24"/>
      <c r="K85" s="26"/>
      <c r="L85" s="24"/>
      <c r="M85" s="24"/>
      <c r="N85" s="27"/>
      <c r="O85" s="27"/>
    </row>
    <row r="86" spans="2:15" ht="24" customHeight="1" x14ac:dyDescent="0.25">
      <c r="B86" s="28" t="str">
        <f t="shared" si="2"/>
        <v/>
      </c>
      <c r="C86" s="29"/>
      <c r="D86" s="30"/>
      <c r="E86" s="31"/>
      <c r="F86" s="32"/>
      <c r="G86" s="31"/>
      <c r="H86" s="31"/>
      <c r="I86" s="31"/>
      <c r="J86" s="31"/>
      <c r="K86" s="33"/>
      <c r="L86" s="31"/>
      <c r="M86" s="31"/>
      <c r="N86" s="34"/>
      <c r="O86" s="34"/>
    </row>
    <row r="87" spans="2:15" ht="24" customHeight="1" x14ac:dyDescent="0.25">
      <c r="B87" s="21" t="str">
        <f t="shared" si="2"/>
        <v/>
      </c>
      <c r="C87" s="22"/>
      <c r="D87" s="23"/>
      <c r="E87" s="24"/>
      <c r="F87" s="25"/>
      <c r="G87" s="24"/>
      <c r="H87" s="24"/>
      <c r="I87" s="24"/>
      <c r="J87" s="24"/>
      <c r="K87" s="26"/>
      <c r="L87" s="24"/>
      <c r="M87" s="24"/>
      <c r="N87" s="27"/>
      <c r="O87" s="27"/>
    </row>
    <row r="88" spans="2:15" ht="24" customHeight="1" x14ac:dyDescent="0.25">
      <c r="B88" s="28" t="str">
        <f t="shared" si="2"/>
        <v/>
      </c>
      <c r="C88" s="29"/>
      <c r="D88" s="30"/>
      <c r="E88" s="31"/>
      <c r="F88" s="32"/>
      <c r="G88" s="31"/>
      <c r="H88" s="31"/>
      <c r="I88" s="31"/>
      <c r="J88" s="31"/>
      <c r="K88" s="33"/>
      <c r="L88" s="31"/>
      <c r="M88" s="31"/>
      <c r="N88" s="34"/>
      <c r="O88" s="34"/>
    </row>
    <row r="89" spans="2:15" ht="24" customHeight="1" x14ac:dyDescent="0.25">
      <c r="B89" s="21" t="str">
        <f t="shared" si="2"/>
        <v/>
      </c>
      <c r="C89" s="22"/>
      <c r="D89" s="23"/>
      <c r="E89" s="24"/>
      <c r="F89" s="25"/>
      <c r="G89" s="24"/>
      <c r="H89" s="24"/>
      <c r="I89" s="24"/>
      <c r="J89" s="24"/>
      <c r="K89" s="26"/>
      <c r="L89" s="24"/>
      <c r="M89" s="24"/>
      <c r="N89" s="27"/>
      <c r="O89" s="27"/>
    </row>
    <row r="90" spans="2:15" ht="24" customHeight="1" x14ac:dyDescent="0.25">
      <c r="B90" s="28" t="str">
        <f t="shared" si="2"/>
        <v/>
      </c>
      <c r="C90" s="29"/>
      <c r="D90" s="30"/>
      <c r="E90" s="31"/>
      <c r="F90" s="32"/>
      <c r="G90" s="31"/>
      <c r="H90" s="31"/>
      <c r="I90" s="31"/>
      <c r="J90" s="31"/>
      <c r="K90" s="33"/>
      <c r="L90" s="31"/>
      <c r="M90" s="31"/>
      <c r="N90" s="34"/>
      <c r="O90" s="34"/>
    </row>
    <row r="91" spans="2:15" ht="24" customHeight="1" x14ac:dyDescent="0.25">
      <c r="B91" s="21" t="str">
        <f t="shared" si="2"/>
        <v/>
      </c>
      <c r="C91" s="22"/>
      <c r="D91" s="23"/>
      <c r="E91" s="24"/>
      <c r="F91" s="25"/>
      <c r="G91" s="24"/>
      <c r="H91" s="24"/>
      <c r="I91" s="24"/>
      <c r="J91" s="24"/>
      <c r="K91" s="26"/>
      <c r="L91" s="24"/>
      <c r="M91" s="24"/>
      <c r="N91" s="27"/>
      <c r="O91" s="27"/>
    </row>
    <row r="92" spans="2:15" ht="24" customHeight="1" x14ac:dyDescent="0.25">
      <c r="B92" s="28" t="str">
        <f t="shared" si="2"/>
        <v/>
      </c>
      <c r="C92" s="29"/>
      <c r="D92" s="30"/>
      <c r="E92" s="31"/>
      <c r="F92" s="32"/>
      <c r="G92" s="31"/>
      <c r="H92" s="31"/>
      <c r="I92" s="31"/>
      <c r="J92" s="31"/>
      <c r="K92" s="33"/>
      <c r="L92" s="31"/>
      <c r="M92" s="31"/>
      <c r="N92" s="34"/>
      <c r="O92" s="34"/>
    </row>
    <row r="93" spans="2:15" ht="24" customHeight="1" x14ac:dyDescent="0.25">
      <c r="B93" s="21" t="str">
        <f t="shared" si="2"/>
        <v/>
      </c>
      <c r="C93" s="22"/>
      <c r="D93" s="23"/>
      <c r="E93" s="24"/>
      <c r="F93" s="25"/>
      <c r="G93" s="24"/>
      <c r="H93" s="24"/>
      <c r="I93" s="24"/>
      <c r="J93" s="24"/>
      <c r="K93" s="26"/>
      <c r="L93" s="24"/>
      <c r="M93" s="24"/>
      <c r="N93" s="27"/>
      <c r="O93" s="27"/>
    </row>
    <row r="94" spans="2:15" ht="24" customHeight="1" x14ac:dyDescent="0.25">
      <c r="B94" s="28" t="str">
        <f t="shared" si="2"/>
        <v/>
      </c>
      <c r="C94" s="29"/>
      <c r="D94" s="30"/>
      <c r="E94" s="31"/>
      <c r="F94" s="32"/>
      <c r="G94" s="31"/>
      <c r="H94" s="31"/>
      <c r="I94" s="31"/>
      <c r="J94" s="31"/>
      <c r="K94" s="33"/>
      <c r="L94" s="31"/>
      <c r="M94" s="31"/>
      <c r="N94" s="34"/>
      <c r="O94" s="34"/>
    </row>
    <row r="95" spans="2:15" ht="24" customHeight="1" x14ac:dyDescent="0.25">
      <c r="B95" s="21" t="str">
        <f t="shared" si="2"/>
        <v/>
      </c>
      <c r="C95" s="22"/>
      <c r="D95" s="23"/>
      <c r="E95" s="24"/>
      <c r="F95" s="25"/>
      <c r="G95" s="24"/>
      <c r="H95" s="24"/>
      <c r="I95" s="24"/>
      <c r="J95" s="24"/>
      <c r="K95" s="26"/>
      <c r="L95" s="24"/>
      <c r="M95" s="24"/>
      <c r="N95" s="27"/>
      <c r="O95" s="27"/>
    </row>
    <row r="96" spans="2:15" ht="24" customHeight="1" x14ac:dyDescent="0.25">
      <c r="B96" s="28" t="str">
        <f t="shared" si="2"/>
        <v/>
      </c>
      <c r="C96" s="29"/>
      <c r="D96" s="30"/>
      <c r="E96" s="31"/>
      <c r="F96" s="32"/>
      <c r="G96" s="31"/>
      <c r="H96" s="31"/>
      <c r="I96" s="31"/>
      <c r="J96" s="31"/>
      <c r="K96" s="33"/>
      <c r="L96" s="31"/>
      <c r="M96" s="31"/>
      <c r="N96" s="34"/>
      <c r="O96" s="34"/>
    </row>
    <row r="97" spans="2:15" ht="24" customHeight="1" x14ac:dyDescent="0.25">
      <c r="B97" s="21" t="str">
        <f t="shared" si="2"/>
        <v/>
      </c>
      <c r="C97" s="22"/>
      <c r="D97" s="23"/>
      <c r="E97" s="24"/>
      <c r="F97" s="25"/>
      <c r="G97" s="24"/>
      <c r="H97" s="24"/>
      <c r="I97" s="24"/>
      <c r="J97" s="24"/>
      <c r="K97" s="26"/>
      <c r="L97" s="24"/>
      <c r="M97" s="24"/>
      <c r="N97" s="27"/>
      <c r="O97" s="27"/>
    </row>
    <row r="98" spans="2:15" ht="24" customHeight="1" x14ac:dyDescent="0.25">
      <c r="B98" s="28" t="str">
        <f t="shared" si="2"/>
        <v/>
      </c>
      <c r="C98" s="29"/>
      <c r="D98" s="30"/>
      <c r="E98" s="31"/>
      <c r="F98" s="32"/>
      <c r="G98" s="31"/>
      <c r="H98" s="31"/>
      <c r="I98" s="31"/>
      <c r="J98" s="31"/>
      <c r="K98" s="33"/>
      <c r="L98" s="31"/>
      <c r="M98" s="31"/>
      <c r="N98" s="34"/>
      <c r="O98" s="34"/>
    </row>
    <row r="99" spans="2:15" ht="24" customHeight="1" x14ac:dyDescent="0.25">
      <c r="B99" s="21" t="str">
        <f t="shared" si="2"/>
        <v/>
      </c>
      <c r="C99" s="22"/>
      <c r="D99" s="23"/>
      <c r="E99" s="24"/>
      <c r="F99" s="25"/>
      <c r="G99" s="24"/>
      <c r="H99" s="24"/>
      <c r="I99" s="24"/>
      <c r="J99" s="24"/>
      <c r="K99" s="26"/>
      <c r="L99" s="24"/>
      <c r="M99" s="24"/>
      <c r="N99" s="27"/>
      <c r="O99" s="27"/>
    </row>
    <row r="100" spans="2:15" ht="24" customHeight="1" x14ac:dyDescent="0.25">
      <c r="B100" s="28" t="str">
        <f t="shared" si="2"/>
        <v/>
      </c>
      <c r="C100" s="29"/>
      <c r="D100" s="30"/>
      <c r="E100" s="31"/>
      <c r="F100" s="32"/>
      <c r="G100" s="31"/>
      <c r="H100" s="31"/>
      <c r="I100" s="31"/>
      <c r="J100" s="31"/>
      <c r="K100" s="33"/>
      <c r="L100" s="31"/>
      <c r="M100" s="31"/>
      <c r="N100" s="34"/>
      <c r="O100" s="34"/>
    </row>
    <row r="101" spans="2:15" ht="24" customHeight="1" x14ac:dyDescent="0.25">
      <c r="B101" s="21" t="str">
        <f t="shared" ref="B101:B132" si="3">IF(C101="","",ROW()-5)</f>
        <v/>
      </c>
      <c r="C101" s="22"/>
      <c r="D101" s="23"/>
      <c r="E101" s="24"/>
      <c r="F101" s="25"/>
      <c r="G101" s="24"/>
      <c r="H101" s="24"/>
      <c r="I101" s="24"/>
      <c r="J101" s="24"/>
      <c r="K101" s="26"/>
      <c r="L101" s="24"/>
      <c r="M101" s="24"/>
      <c r="N101" s="27"/>
      <c r="O101" s="27"/>
    </row>
    <row r="102" spans="2:15" ht="24" customHeight="1" x14ac:dyDescent="0.25">
      <c r="B102" s="28" t="str">
        <f t="shared" si="3"/>
        <v/>
      </c>
      <c r="C102" s="29"/>
      <c r="D102" s="30"/>
      <c r="E102" s="31"/>
      <c r="F102" s="32"/>
      <c r="G102" s="31"/>
      <c r="H102" s="31"/>
      <c r="I102" s="31"/>
      <c r="J102" s="31"/>
      <c r="K102" s="33"/>
      <c r="L102" s="31"/>
      <c r="M102" s="31"/>
      <c r="N102" s="34"/>
      <c r="O102" s="34"/>
    </row>
    <row r="103" spans="2:15" ht="24" customHeight="1" x14ac:dyDescent="0.25">
      <c r="B103" s="21" t="str">
        <f t="shared" si="3"/>
        <v/>
      </c>
      <c r="C103" s="22"/>
      <c r="D103" s="23"/>
      <c r="E103" s="24"/>
      <c r="F103" s="25"/>
      <c r="G103" s="24"/>
      <c r="H103" s="24"/>
      <c r="I103" s="24"/>
      <c r="J103" s="24"/>
      <c r="K103" s="26"/>
      <c r="L103" s="24"/>
      <c r="M103" s="24"/>
      <c r="N103" s="27"/>
      <c r="O103" s="27"/>
    </row>
    <row r="104" spans="2:15" ht="24" customHeight="1" x14ac:dyDescent="0.25">
      <c r="B104" s="28" t="str">
        <f t="shared" si="3"/>
        <v/>
      </c>
      <c r="C104" s="29"/>
      <c r="D104" s="30"/>
      <c r="E104" s="31"/>
      <c r="F104" s="32"/>
      <c r="G104" s="31"/>
      <c r="H104" s="31"/>
      <c r="I104" s="31"/>
      <c r="J104" s="31"/>
      <c r="K104" s="33"/>
      <c r="L104" s="31"/>
      <c r="M104" s="31"/>
      <c r="N104" s="34"/>
      <c r="O104" s="34"/>
    </row>
    <row r="105" spans="2:15" ht="24" customHeight="1" x14ac:dyDescent="0.25">
      <c r="B105" s="21" t="str">
        <f t="shared" si="3"/>
        <v/>
      </c>
      <c r="C105" s="22"/>
      <c r="D105" s="23"/>
      <c r="E105" s="24"/>
      <c r="F105" s="25"/>
      <c r="G105" s="24"/>
      <c r="H105" s="24"/>
      <c r="I105" s="24"/>
      <c r="J105" s="24"/>
      <c r="K105" s="26"/>
      <c r="L105" s="24"/>
      <c r="M105" s="24"/>
      <c r="N105" s="27"/>
      <c r="O105" s="27"/>
    </row>
    <row r="106" spans="2:15" ht="24" customHeight="1" x14ac:dyDescent="0.25">
      <c r="B106" s="28" t="str">
        <f t="shared" si="3"/>
        <v/>
      </c>
      <c r="C106" s="29"/>
      <c r="D106" s="30"/>
      <c r="E106" s="31"/>
      <c r="F106" s="32"/>
      <c r="G106" s="31"/>
      <c r="H106" s="31"/>
      <c r="I106" s="31"/>
      <c r="J106" s="31"/>
      <c r="K106" s="33"/>
      <c r="L106" s="31"/>
      <c r="M106" s="31"/>
      <c r="N106" s="34"/>
      <c r="O106" s="34"/>
    </row>
    <row r="107" spans="2:15" ht="24" customHeight="1" x14ac:dyDescent="0.25">
      <c r="B107" s="21" t="str">
        <f t="shared" si="3"/>
        <v/>
      </c>
      <c r="C107" s="22"/>
      <c r="D107" s="23"/>
      <c r="E107" s="24"/>
      <c r="F107" s="25"/>
      <c r="G107" s="24"/>
      <c r="H107" s="24"/>
      <c r="I107" s="24"/>
      <c r="J107" s="24"/>
      <c r="K107" s="26"/>
      <c r="L107" s="24"/>
      <c r="M107" s="24"/>
      <c r="N107" s="27"/>
      <c r="O107" s="27"/>
    </row>
    <row r="108" spans="2:15" ht="24" customHeight="1" x14ac:dyDescent="0.25">
      <c r="B108" s="28" t="str">
        <f t="shared" si="3"/>
        <v/>
      </c>
      <c r="C108" s="29"/>
      <c r="D108" s="30"/>
      <c r="E108" s="31"/>
      <c r="F108" s="32"/>
      <c r="G108" s="31"/>
      <c r="H108" s="31"/>
      <c r="I108" s="31"/>
      <c r="J108" s="31"/>
      <c r="K108" s="33"/>
      <c r="L108" s="31"/>
      <c r="M108" s="31"/>
      <c r="N108" s="34"/>
      <c r="O108" s="34"/>
    </row>
    <row r="109" spans="2:15" ht="24" customHeight="1" x14ac:dyDescent="0.25">
      <c r="B109" s="21" t="str">
        <f t="shared" si="3"/>
        <v/>
      </c>
      <c r="C109" s="22"/>
      <c r="D109" s="23"/>
      <c r="E109" s="24"/>
      <c r="F109" s="25"/>
      <c r="G109" s="24"/>
      <c r="H109" s="24"/>
      <c r="I109" s="24"/>
      <c r="J109" s="24"/>
      <c r="K109" s="26"/>
      <c r="L109" s="24"/>
      <c r="M109" s="24"/>
      <c r="N109" s="27"/>
      <c r="O109" s="27"/>
    </row>
    <row r="110" spans="2:15" ht="24" customHeight="1" x14ac:dyDescent="0.25">
      <c r="B110" s="28" t="str">
        <f t="shared" si="3"/>
        <v/>
      </c>
      <c r="C110" s="29"/>
      <c r="D110" s="30"/>
      <c r="E110" s="31"/>
      <c r="F110" s="32"/>
      <c r="G110" s="31"/>
      <c r="H110" s="31"/>
      <c r="I110" s="31"/>
      <c r="J110" s="31"/>
      <c r="K110" s="33"/>
      <c r="L110" s="31"/>
      <c r="M110" s="31"/>
      <c r="N110" s="34"/>
      <c r="O110" s="34"/>
    </row>
    <row r="111" spans="2:15" ht="24" customHeight="1" x14ac:dyDescent="0.25">
      <c r="B111" s="21" t="str">
        <f t="shared" si="3"/>
        <v/>
      </c>
      <c r="C111" s="22"/>
      <c r="D111" s="23"/>
      <c r="E111" s="24"/>
      <c r="F111" s="25"/>
      <c r="G111" s="24"/>
      <c r="H111" s="24"/>
      <c r="I111" s="24"/>
      <c r="J111" s="24"/>
      <c r="K111" s="26"/>
      <c r="L111" s="24"/>
      <c r="M111" s="24"/>
      <c r="N111" s="27"/>
      <c r="O111" s="27"/>
    </row>
    <row r="112" spans="2:15" ht="24" customHeight="1" x14ac:dyDescent="0.25">
      <c r="B112" s="28" t="str">
        <f t="shared" si="3"/>
        <v/>
      </c>
      <c r="C112" s="29"/>
      <c r="D112" s="30"/>
      <c r="E112" s="31"/>
      <c r="F112" s="32"/>
      <c r="G112" s="31"/>
      <c r="H112" s="31"/>
      <c r="I112" s="31"/>
      <c r="J112" s="31"/>
      <c r="K112" s="33"/>
      <c r="L112" s="31"/>
      <c r="M112" s="31"/>
      <c r="N112" s="34"/>
      <c r="O112" s="34"/>
    </row>
    <row r="113" spans="2:15" ht="24" customHeight="1" x14ac:dyDescent="0.25">
      <c r="B113" s="21" t="str">
        <f t="shared" si="3"/>
        <v/>
      </c>
      <c r="C113" s="22"/>
      <c r="D113" s="23"/>
      <c r="E113" s="24"/>
      <c r="F113" s="25"/>
      <c r="G113" s="24"/>
      <c r="H113" s="24"/>
      <c r="I113" s="24"/>
      <c r="J113" s="24"/>
      <c r="K113" s="26"/>
      <c r="L113" s="24"/>
      <c r="M113" s="24"/>
      <c r="N113" s="27"/>
      <c r="O113" s="27"/>
    </row>
    <row r="114" spans="2:15" ht="24" customHeight="1" x14ac:dyDescent="0.25">
      <c r="B114" s="28" t="str">
        <f t="shared" si="3"/>
        <v/>
      </c>
      <c r="C114" s="29"/>
      <c r="D114" s="30"/>
      <c r="E114" s="31"/>
      <c r="F114" s="32"/>
      <c r="G114" s="31"/>
      <c r="H114" s="31"/>
      <c r="I114" s="31"/>
      <c r="J114" s="31"/>
      <c r="K114" s="33"/>
      <c r="L114" s="31"/>
      <c r="M114" s="31"/>
      <c r="N114" s="34"/>
      <c r="O114" s="34"/>
    </row>
    <row r="115" spans="2:15" ht="24" customHeight="1" x14ac:dyDescent="0.25">
      <c r="B115" s="21" t="str">
        <f t="shared" si="3"/>
        <v/>
      </c>
      <c r="C115" s="22"/>
      <c r="D115" s="23"/>
      <c r="E115" s="24"/>
      <c r="F115" s="25"/>
      <c r="G115" s="24"/>
      <c r="H115" s="24"/>
      <c r="I115" s="24"/>
      <c r="J115" s="24"/>
      <c r="K115" s="26"/>
      <c r="L115" s="24"/>
      <c r="M115" s="24"/>
      <c r="N115" s="27"/>
      <c r="O115" s="27"/>
    </row>
    <row r="116" spans="2:15" ht="24" customHeight="1" x14ac:dyDescent="0.25">
      <c r="B116" s="28" t="str">
        <f t="shared" si="3"/>
        <v/>
      </c>
      <c r="C116" s="29"/>
      <c r="D116" s="30"/>
      <c r="E116" s="31"/>
      <c r="F116" s="32"/>
      <c r="G116" s="31"/>
      <c r="H116" s="31"/>
      <c r="I116" s="31"/>
      <c r="J116" s="31"/>
      <c r="K116" s="33"/>
      <c r="L116" s="31"/>
      <c r="M116" s="31"/>
      <c r="N116" s="34"/>
      <c r="O116" s="34"/>
    </row>
    <row r="117" spans="2:15" ht="24" customHeight="1" x14ac:dyDescent="0.25">
      <c r="B117" s="21" t="str">
        <f t="shared" si="3"/>
        <v/>
      </c>
      <c r="C117" s="22"/>
      <c r="D117" s="23"/>
      <c r="E117" s="24"/>
      <c r="F117" s="25"/>
      <c r="G117" s="24"/>
      <c r="H117" s="24"/>
      <c r="I117" s="24"/>
      <c r="J117" s="24"/>
      <c r="K117" s="26"/>
      <c r="L117" s="24"/>
      <c r="M117" s="24"/>
      <c r="N117" s="27"/>
      <c r="O117" s="27"/>
    </row>
    <row r="118" spans="2:15" ht="24" customHeight="1" x14ac:dyDescent="0.25">
      <c r="B118" s="28" t="str">
        <f t="shared" si="3"/>
        <v/>
      </c>
      <c r="C118" s="29"/>
      <c r="D118" s="30"/>
      <c r="E118" s="31"/>
      <c r="F118" s="32"/>
      <c r="G118" s="31"/>
      <c r="H118" s="31"/>
      <c r="I118" s="31"/>
      <c r="J118" s="31"/>
      <c r="K118" s="33"/>
      <c r="L118" s="31"/>
      <c r="M118" s="31"/>
      <c r="N118" s="34"/>
      <c r="O118" s="34"/>
    </row>
    <row r="119" spans="2:15" ht="24" customHeight="1" x14ac:dyDescent="0.25">
      <c r="B119" s="21" t="str">
        <f t="shared" si="3"/>
        <v/>
      </c>
      <c r="C119" s="22"/>
      <c r="D119" s="23"/>
      <c r="E119" s="24"/>
      <c r="F119" s="25"/>
      <c r="G119" s="24"/>
      <c r="H119" s="24"/>
      <c r="I119" s="24"/>
      <c r="J119" s="24"/>
      <c r="K119" s="26"/>
      <c r="L119" s="24"/>
      <c r="M119" s="24"/>
      <c r="N119" s="27"/>
      <c r="O119" s="27"/>
    </row>
    <row r="120" spans="2:15" ht="24" customHeight="1" x14ac:dyDescent="0.25">
      <c r="B120" s="28" t="str">
        <f t="shared" si="3"/>
        <v/>
      </c>
      <c r="C120" s="29"/>
      <c r="D120" s="30"/>
      <c r="E120" s="31"/>
      <c r="F120" s="32"/>
      <c r="G120" s="31"/>
      <c r="H120" s="31"/>
      <c r="I120" s="31"/>
      <c r="J120" s="31"/>
      <c r="K120" s="33"/>
      <c r="L120" s="31"/>
      <c r="M120" s="31"/>
      <c r="N120" s="34"/>
      <c r="O120" s="34"/>
    </row>
    <row r="121" spans="2:15" ht="24" customHeight="1" x14ac:dyDescent="0.25">
      <c r="B121" s="21" t="str">
        <f t="shared" si="3"/>
        <v/>
      </c>
      <c r="C121" s="22"/>
      <c r="D121" s="23"/>
      <c r="E121" s="24"/>
      <c r="F121" s="25"/>
      <c r="G121" s="24"/>
      <c r="H121" s="24"/>
      <c r="I121" s="24"/>
      <c r="J121" s="24"/>
      <c r="K121" s="26"/>
      <c r="L121" s="24"/>
      <c r="M121" s="24"/>
      <c r="N121" s="27"/>
      <c r="O121" s="27"/>
    </row>
    <row r="122" spans="2:15" ht="24" customHeight="1" x14ac:dyDescent="0.25">
      <c r="B122" s="28" t="str">
        <f t="shared" si="3"/>
        <v/>
      </c>
      <c r="C122" s="29"/>
      <c r="D122" s="30"/>
      <c r="E122" s="31"/>
      <c r="F122" s="32"/>
      <c r="G122" s="31"/>
      <c r="H122" s="31"/>
      <c r="I122" s="31"/>
      <c r="J122" s="31"/>
      <c r="K122" s="33"/>
      <c r="L122" s="31"/>
      <c r="M122" s="31"/>
      <c r="N122" s="34"/>
      <c r="O122" s="34"/>
    </row>
    <row r="123" spans="2:15" ht="24" customHeight="1" x14ac:dyDescent="0.25">
      <c r="B123" s="21" t="str">
        <f t="shared" si="3"/>
        <v/>
      </c>
      <c r="C123" s="22"/>
      <c r="D123" s="23"/>
      <c r="E123" s="24"/>
      <c r="F123" s="25"/>
      <c r="G123" s="24"/>
      <c r="H123" s="24"/>
      <c r="I123" s="24"/>
      <c r="J123" s="24"/>
      <c r="K123" s="26"/>
      <c r="L123" s="24"/>
      <c r="M123" s="24"/>
      <c r="N123" s="27"/>
      <c r="O123" s="27"/>
    </row>
    <row r="124" spans="2:15" ht="24" customHeight="1" x14ac:dyDescent="0.25">
      <c r="B124" s="28" t="str">
        <f t="shared" si="3"/>
        <v/>
      </c>
      <c r="C124" s="29"/>
      <c r="D124" s="30"/>
      <c r="E124" s="31"/>
      <c r="F124" s="32"/>
      <c r="G124" s="31"/>
      <c r="H124" s="31"/>
      <c r="I124" s="31"/>
      <c r="J124" s="31"/>
      <c r="K124" s="33"/>
      <c r="L124" s="31"/>
      <c r="M124" s="31"/>
      <c r="N124" s="34"/>
      <c r="O124" s="34"/>
    </row>
    <row r="125" spans="2:15" ht="24" customHeight="1" x14ac:dyDescent="0.25">
      <c r="B125" s="21" t="str">
        <f t="shared" si="3"/>
        <v/>
      </c>
      <c r="C125" s="22"/>
      <c r="D125" s="23"/>
      <c r="E125" s="24"/>
      <c r="F125" s="25"/>
      <c r="G125" s="24"/>
      <c r="H125" s="24"/>
      <c r="I125" s="24"/>
      <c r="J125" s="24"/>
      <c r="K125" s="26"/>
      <c r="L125" s="24"/>
      <c r="M125" s="24"/>
      <c r="N125" s="27"/>
      <c r="O125" s="27"/>
    </row>
    <row r="126" spans="2:15" ht="24" customHeight="1" x14ac:dyDescent="0.25">
      <c r="B126" s="28" t="str">
        <f t="shared" si="3"/>
        <v/>
      </c>
      <c r="C126" s="29"/>
      <c r="D126" s="30"/>
      <c r="E126" s="31"/>
      <c r="F126" s="32"/>
      <c r="G126" s="31"/>
      <c r="H126" s="31"/>
      <c r="I126" s="31"/>
      <c r="J126" s="31"/>
      <c r="K126" s="33"/>
      <c r="L126" s="31"/>
      <c r="M126" s="31"/>
      <c r="N126" s="34"/>
      <c r="O126" s="34"/>
    </row>
    <row r="127" spans="2:15" ht="24" customHeight="1" x14ac:dyDescent="0.25">
      <c r="B127" s="21" t="str">
        <f t="shared" si="3"/>
        <v/>
      </c>
      <c r="C127" s="22"/>
      <c r="D127" s="23"/>
      <c r="E127" s="24"/>
      <c r="F127" s="25"/>
      <c r="G127" s="24"/>
      <c r="H127" s="24"/>
      <c r="I127" s="24"/>
      <c r="J127" s="24"/>
      <c r="K127" s="26"/>
      <c r="L127" s="24"/>
      <c r="M127" s="24"/>
      <c r="N127" s="27"/>
      <c r="O127" s="27"/>
    </row>
    <row r="128" spans="2:15" ht="24" customHeight="1" x14ac:dyDescent="0.25">
      <c r="B128" s="28" t="str">
        <f t="shared" si="3"/>
        <v/>
      </c>
      <c r="C128" s="29"/>
      <c r="D128" s="30"/>
      <c r="E128" s="31"/>
      <c r="F128" s="32"/>
      <c r="G128" s="31"/>
      <c r="H128" s="31"/>
      <c r="I128" s="31"/>
      <c r="J128" s="31"/>
      <c r="K128" s="33"/>
      <c r="L128" s="31"/>
      <c r="M128" s="31"/>
      <c r="N128" s="34"/>
      <c r="O128" s="34"/>
    </row>
    <row r="129" spans="2:15" ht="24" customHeight="1" x14ac:dyDescent="0.25">
      <c r="B129" s="21" t="str">
        <f t="shared" si="3"/>
        <v/>
      </c>
      <c r="C129" s="22"/>
      <c r="D129" s="23"/>
      <c r="E129" s="24"/>
      <c r="F129" s="25"/>
      <c r="G129" s="24"/>
      <c r="H129" s="24"/>
      <c r="I129" s="24"/>
      <c r="J129" s="24"/>
      <c r="K129" s="26"/>
      <c r="L129" s="24"/>
      <c r="M129" s="24"/>
      <c r="N129" s="27"/>
      <c r="O129" s="27"/>
    </row>
    <row r="130" spans="2:15" ht="24" customHeight="1" x14ac:dyDescent="0.25">
      <c r="B130" s="28" t="str">
        <f t="shared" si="3"/>
        <v/>
      </c>
      <c r="C130" s="29"/>
      <c r="D130" s="30"/>
      <c r="E130" s="31"/>
      <c r="F130" s="32"/>
      <c r="G130" s="31"/>
      <c r="H130" s="31"/>
      <c r="I130" s="31"/>
      <c r="J130" s="31"/>
      <c r="K130" s="33"/>
      <c r="L130" s="31"/>
      <c r="M130" s="31"/>
      <c r="N130" s="34"/>
      <c r="O130" s="34"/>
    </row>
    <row r="131" spans="2:15" ht="24" customHeight="1" x14ac:dyDescent="0.25">
      <c r="B131" s="21" t="str">
        <f t="shared" si="3"/>
        <v/>
      </c>
      <c r="C131" s="22"/>
      <c r="D131" s="23"/>
      <c r="E131" s="24"/>
      <c r="F131" s="25"/>
      <c r="G131" s="24"/>
      <c r="H131" s="24"/>
      <c r="I131" s="24"/>
      <c r="J131" s="24"/>
      <c r="K131" s="26"/>
      <c r="L131" s="24"/>
      <c r="M131" s="24"/>
      <c r="N131" s="27"/>
      <c r="O131" s="27"/>
    </row>
    <row r="132" spans="2:15" ht="24" customHeight="1" x14ac:dyDescent="0.25">
      <c r="B132" s="28" t="str">
        <f t="shared" si="3"/>
        <v/>
      </c>
      <c r="C132" s="29"/>
      <c r="D132" s="30"/>
      <c r="E132" s="31"/>
      <c r="F132" s="32"/>
      <c r="G132" s="31"/>
      <c r="H132" s="31"/>
      <c r="I132" s="31"/>
      <c r="J132" s="31"/>
      <c r="K132" s="33"/>
      <c r="L132" s="31"/>
      <c r="M132" s="31"/>
      <c r="N132" s="34"/>
      <c r="O132" s="34"/>
    </row>
    <row r="133" spans="2:15" ht="24" customHeight="1" x14ac:dyDescent="0.25">
      <c r="B133" s="21" t="str">
        <f t="shared" ref="B133:B164" si="4">IF(C133="","",ROW()-5)</f>
        <v/>
      </c>
      <c r="C133" s="22"/>
      <c r="D133" s="23"/>
      <c r="E133" s="24"/>
      <c r="F133" s="25"/>
      <c r="G133" s="24"/>
      <c r="H133" s="24"/>
      <c r="I133" s="24"/>
      <c r="J133" s="24"/>
      <c r="K133" s="26"/>
      <c r="L133" s="24"/>
      <c r="M133" s="24"/>
      <c r="N133" s="27"/>
      <c r="O133" s="27"/>
    </row>
    <row r="134" spans="2:15" ht="24" customHeight="1" x14ac:dyDescent="0.25">
      <c r="B134" s="28" t="str">
        <f t="shared" si="4"/>
        <v/>
      </c>
      <c r="C134" s="29"/>
      <c r="D134" s="30"/>
      <c r="E134" s="31"/>
      <c r="F134" s="32"/>
      <c r="G134" s="31"/>
      <c r="H134" s="31"/>
      <c r="I134" s="31"/>
      <c r="J134" s="31"/>
      <c r="K134" s="33"/>
      <c r="L134" s="31"/>
      <c r="M134" s="31"/>
      <c r="N134" s="34"/>
      <c r="O134" s="34"/>
    </row>
    <row r="135" spans="2:15" ht="24" customHeight="1" x14ac:dyDescent="0.25">
      <c r="B135" s="21" t="str">
        <f t="shared" si="4"/>
        <v/>
      </c>
      <c r="C135" s="22"/>
      <c r="D135" s="23"/>
      <c r="E135" s="24"/>
      <c r="F135" s="25"/>
      <c r="G135" s="24"/>
      <c r="H135" s="24"/>
      <c r="I135" s="24"/>
      <c r="J135" s="24"/>
      <c r="K135" s="26"/>
      <c r="L135" s="24"/>
      <c r="M135" s="24"/>
      <c r="N135" s="27"/>
      <c r="O135" s="27"/>
    </row>
    <row r="136" spans="2:15" ht="24" customHeight="1" x14ac:dyDescent="0.25">
      <c r="B136" s="28" t="str">
        <f t="shared" si="4"/>
        <v/>
      </c>
      <c r="C136" s="29"/>
      <c r="D136" s="30"/>
      <c r="E136" s="31"/>
      <c r="F136" s="32"/>
      <c r="G136" s="31"/>
      <c r="H136" s="31"/>
      <c r="I136" s="31"/>
      <c r="J136" s="31"/>
      <c r="K136" s="33"/>
      <c r="L136" s="31"/>
      <c r="M136" s="31"/>
      <c r="N136" s="34"/>
      <c r="O136" s="34"/>
    </row>
    <row r="137" spans="2:15" ht="24" customHeight="1" x14ac:dyDescent="0.25">
      <c r="B137" s="21" t="str">
        <f t="shared" si="4"/>
        <v/>
      </c>
      <c r="C137" s="22"/>
      <c r="D137" s="23"/>
      <c r="E137" s="24"/>
      <c r="F137" s="25"/>
      <c r="G137" s="24"/>
      <c r="H137" s="24"/>
      <c r="I137" s="24"/>
      <c r="J137" s="24"/>
      <c r="K137" s="26"/>
      <c r="L137" s="24"/>
      <c r="M137" s="24"/>
      <c r="N137" s="27"/>
      <c r="O137" s="27"/>
    </row>
    <row r="138" spans="2:15" ht="24" customHeight="1" x14ac:dyDescent="0.25">
      <c r="B138" s="28" t="str">
        <f t="shared" si="4"/>
        <v/>
      </c>
      <c r="C138" s="29"/>
      <c r="D138" s="30"/>
      <c r="E138" s="31"/>
      <c r="F138" s="32"/>
      <c r="G138" s="31"/>
      <c r="H138" s="31"/>
      <c r="I138" s="31"/>
      <c r="J138" s="31"/>
      <c r="K138" s="33"/>
      <c r="L138" s="31"/>
      <c r="M138" s="31"/>
      <c r="N138" s="34"/>
      <c r="O138" s="34"/>
    </row>
    <row r="139" spans="2:15" ht="24" customHeight="1" x14ac:dyDescent="0.25">
      <c r="B139" s="21" t="str">
        <f t="shared" si="4"/>
        <v/>
      </c>
      <c r="C139" s="22"/>
      <c r="D139" s="23"/>
      <c r="E139" s="24"/>
      <c r="F139" s="25"/>
      <c r="G139" s="24"/>
      <c r="H139" s="24"/>
      <c r="I139" s="24"/>
      <c r="J139" s="24"/>
      <c r="K139" s="26"/>
      <c r="L139" s="24"/>
      <c r="M139" s="24"/>
      <c r="N139" s="27"/>
      <c r="O139" s="27"/>
    </row>
    <row r="140" spans="2:15" ht="24" customHeight="1" x14ac:dyDescent="0.25">
      <c r="B140" s="28" t="str">
        <f t="shared" si="4"/>
        <v/>
      </c>
      <c r="C140" s="29"/>
      <c r="D140" s="30"/>
      <c r="E140" s="31"/>
      <c r="F140" s="32"/>
      <c r="G140" s="31"/>
      <c r="H140" s="31"/>
      <c r="I140" s="31"/>
      <c r="J140" s="31"/>
      <c r="K140" s="33"/>
      <c r="L140" s="31"/>
      <c r="M140" s="31"/>
      <c r="N140" s="34"/>
      <c r="O140" s="34"/>
    </row>
    <row r="141" spans="2:15" ht="24" customHeight="1" x14ac:dyDescent="0.25">
      <c r="B141" s="21" t="str">
        <f t="shared" si="4"/>
        <v/>
      </c>
      <c r="C141" s="22"/>
      <c r="D141" s="23"/>
      <c r="E141" s="24"/>
      <c r="F141" s="25"/>
      <c r="G141" s="24"/>
      <c r="H141" s="24"/>
      <c r="I141" s="24"/>
      <c r="J141" s="24"/>
      <c r="K141" s="26"/>
      <c r="L141" s="24"/>
      <c r="M141" s="24"/>
      <c r="N141" s="27"/>
      <c r="O141" s="27"/>
    </row>
    <row r="142" spans="2:15" ht="24" customHeight="1" x14ac:dyDescent="0.25">
      <c r="B142" s="28" t="str">
        <f t="shared" si="4"/>
        <v/>
      </c>
      <c r="C142" s="29"/>
      <c r="D142" s="30"/>
      <c r="E142" s="31"/>
      <c r="F142" s="32"/>
      <c r="G142" s="31"/>
      <c r="H142" s="31"/>
      <c r="I142" s="31"/>
      <c r="J142" s="31"/>
      <c r="K142" s="33"/>
      <c r="L142" s="31"/>
      <c r="M142" s="31"/>
      <c r="N142" s="34"/>
      <c r="O142" s="34"/>
    </row>
    <row r="143" spans="2:15" ht="24" customHeight="1" x14ac:dyDescent="0.25">
      <c r="B143" s="21" t="str">
        <f t="shared" si="4"/>
        <v/>
      </c>
      <c r="C143" s="22"/>
      <c r="D143" s="23"/>
      <c r="E143" s="24"/>
      <c r="F143" s="25"/>
      <c r="G143" s="24"/>
      <c r="H143" s="24"/>
      <c r="I143" s="24"/>
      <c r="J143" s="24"/>
      <c r="K143" s="26"/>
      <c r="L143" s="24"/>
      <c r="M143" s="24"/>
      <c r="N143" s="27"/>
      <c r="O143" s="27"/>
    </row>
    <row r="144" spans="2:15" ht="24" customHeight="1" x14ac:dyDescent="0.25">
      <c r="B144" s="28" t="str">
        <f t="shared" si="4"/>
        <v/>
      </c>
      <c r="C144" s="29"/>
      <c r="D144" s="30"/>
      <c r="E144" s="31"/>
      <c r="F144" s="32"/>
      <c r="G144" s="31"/>
      <c r="H144" s="31"/>
      <c r="I144" s="31"/>
      <c r="J144" s="31"/>
      <c r="K144" s="33"/>
      <c r="L144" s="31"/>
      <c r="M144" s="31"/>
      <c r="N144" s="34"/>
      <c r="O144" s="34"/>
    </row>
    <row r="145" spans="2:15" ht="24" customHeight="1" x14ac:dyDescent="0.25">
      <c r="B145" s="21" t="str">
        <f t="shared" si="4"/>
        <v/>
      </c>
      <c r="C145" s="22"/>
      <c r="D145" s="23"/>
      <c r="E145" s="24"/>
      <c r="F145" s="25"/>
      <c r="G145" s="24"/>
      <c r="H145" s="24"/>
      <c r="I145" s="24"/>
      <c r="J145" s="24"/>
      <c r="K145" s="26"/>
      <c r="L145" s="24"/>
      <c r="M145" s="24"/>
      <c r="N145" s="27"/>
      <c r="O145" s="27"/>
    </row>
    <row r="146" spans="2:15" ht="24" customHeight="1" x14ac:dyDescent="0.25">
      <c r="B146" s="28" t="str">
        <f t="shared" si="4"/>
        <v/>
      </c>
      <c r="C146" s="29"/>
      <c r="D146" s="30"/>
      <c r="E146" s="31"/>
      <c r="F146" s="32"/>
      <c r="G146" s="31"/>
      <c r="H146" s="31"/>
      <c r="I146" s="31"/>
      <c r="J146" s="31"/>
      <c r="K146" s="33"/>
      <c r="L146" s="31"/>
      <c r="M146" s="31"/>
      <c r="N146" s="34"/>
      <c r="O146" s="34"/>
    </row>
    <row r="147" spans="2:15" ht="24" customHeight="1" x14ac:dyDescent="0.25">
      <c r="B147" s="21" t="str">
        <f t="shared" si="4"/>
        <v/>
      </c>
      <c r="C147" s="22"/>
      <c r="D147" s="23"/>
      <c r="E147" s="24"/>
      <c r="F147" s="25"/>
      <c r="G147" s="24"/>
      <c r="H147" s="24"/>
      <c r="I147" s="24"/>
      <c r="J147" s="24"/>
      <c r="K147" s="26"/>
      <c r="L147" s="24"/>
      <c r="M147" s="24"/>
      <c r="N147" s="27"/>
      <c r="O147" s="27"/>
    </row>
    <row r="148" spans="2:15" ht="24" customHeight="1" x14ac:dyDescent="0.25">
      <c r="B148" s="28" t="str">
        <f t="shared" si="4"/>
        <v/>
      </c>
      <c r="C148" s="29"/>
      <c r="D148" s="30"/>
      <c r="E148" s="31"/>
      <c r="F148" s="32"/>
      <c r="G148" s="31"/>
      <c r="H148" s="31"/>
      <c r="I148" s="31"/>
      <c r="J148" s="31"/>
      <c r="K148" s="33"/>
      <c r="L148" s="31"/>
      <c r="M148" s="31"/>
      <c r="N148" s="34"/>
      <c r="O148" s="34"/>
    </row>
    <row r="149" spans="2:15" ht="24" customHeight="1" x14ac:dyDescent="0.25">
      <c r="B149" s="21" t="str">
        <f t="shared" si="4"/>
        <v/>
      </c>
      <c r="C149" s="22"/>
      <c r="D149" s="23"/>
      <c r="E149" s="24"/>
      <c r="F149" s="25"/>
      <c r="G149" s="24"/>
      <c r="H149" s="24"/>
      <c r="I149" s="24"/>
      <c r="J149" s="24"/>
      <c r="K149" s="26"/>
      <c r="L149" s="24"/>
      <c r="M149" s="24"/>
      <c r="N149" s="27"/>
      <c r="O149" s="27"/>
    </row>
    <row r="150" spans="2:15" ht="24" customHeight="1" x14ac:dyDescent="0.25">
      <c r="B150" s="28" t="str">
        <f t="shared" si="4"/>
        <v/>
      </c>
      <c r="C150" s="29"/>
      <c r="D150" s="30"/>
      <c r="E150" s="31"/>
      <c r="F150" s="32"/>
      <c r="G150" s="31"/>
      <c r="H150" s="31"/>
      <c r="I150" s="31"/>
      <c r="J150" s="31"/>
      <c r="K150" s="33"/>
      <c r="L150" s="31"/>
      <c r="M150" s="31"/>
      <c r="N150" s="34"/>
      <c r="O150" s="34"/>
    </row>
    <row r="151" spans="2:15" ht="24" customHeight="1" x14ac:dyDescent="0.25">
      <c r="B151" s="21" t="str">
        <f t="shared" si="4"/>
        <v/>
      </c>
      <c r="C151" s="22"/>
      <c r="D151" s="23"/>
      <c r="E151" s="24"/>
      <c r="F151" s="25"/>
      <c r="G151" s="24"/>
      <c r="H151" s="24"/>
      <c r="I151" s="24"/>
      <c r="J151" s="24"/>
      <c r="K151" s="26"/>
      <c r="L151" s="24"/>
      <c r="M151" s="24"/>
      <c r="N151" s="27"/>
      <c r="O151" s="27"/>
    </row>
    <row r="152" spans="2:15" ht="24" customHeight="1" x14ac:dyDescent="0.25">
      <c r="B152" s="28" t="str">
        <f t="shared" si="4"/>
        <v/>
      </c>
      <c r="C152" s="29"/>
      <c r="D152" s="30"/>
      <c r="E152" s="31"/>
      <c r="F152" s="32"/>
      <c r="G152" s="31"/>
      <c r="H152" s="31"/>
      <c r="I152" s="31"/>
      <c r="J152" s="31"/>
      <c r="K152" s="33"/>
      <c r="L152" s="31"/>
      <c r="M152" s="31"/>
      <c r="N152" s="34"/>
      <c r="O152" s="34"/>
    </row>
    <row r="153" spans="2:15" ht="24" customHeight="1" x14ac:dyDescent="0.25">
      <c r="B153" s="21" t="str">
        <f t="shared" si="4"/>
        <v/>
      </c>
      <c r="C153" s="22"/>
      <c r="D153" s="23"/>
      <c r="E153" s="24"/>
      <c r="F153" s="25"/>
      <c r="G153" s="24"/>
      <c r="H153" s="24"/>
      <c r="I153" s="24"/>
      <c r="J153" s="24"/>
      <c r="K153" s="26"/>
      <c r="L153" s="24"/>
      <c r="M153" s="24"/>
      <c r="N153" s="27"/>
      <c r="O153" s="27"/>
    </row>
    <row r="154" spans="2:15" ht="24" customHeight="1" x14ac:dyDescent="0.25">
      <c r="B154" s="28" t="str">
        <f t="shared" si="4"/>
        <v/>
      </c>
      <c r="C154" s="29"/>
      <c r="D154" s="30"/>
      <c r="E154" s="31"/>
      <c r="F154" s="32"/>
      <c r="G154" s="31"/>
      <c r="H154" s="31"/>
      <c r="I154" s="31"/>
      <c r="J154" s="31"/>
      <c r="K154" s="33"/>
      <c r="L154" s="31"/>
      <c r="M154" s="31"/>
      <c r="N154" s="34"/>
      <c r="O154" s="34"/>
    </row>
    <row r="155" spans="2:15" ht="24" customHeight="1" x14ac:dyDescent="0.25">
      <c r="B155" s="21" t="str">
        <f t="shared" si="4"/>
        <v/>
      </c>
      <c r="C155" s="22"/>
      <c r="D155" s="23"/>
      <c r="E155" s="24"/>
      <c r="F155" s="25"/>
      <c r="G155" s="24"/>
      <c r="H155" s="24"/>
      <c r="I155" s="24"/>
      <c r="J155" s="24"/>
      <c r="K155" s="26"/>
      <c r="L155" s="24"/>
      <c r="M155" s="24"/>
      <c r="N155" s="27"/>
      <c r="O155" s="27"/>
    </row>
    <row r="156" spans="2:15" ht="24" customHeight="1" x14ac:dyDescent="0.25">
      <c r="B156" s="28" t="str">
        <f t="shared" si="4"/>
        <v/>
      </c>
      <c r="C156" s="29"/>
      <c r="D156" s="30"/>
      <c r="E156" s="31"/>
      <c r="F156" s="32"/>
      <c r="G156" s="31"/>
      <c r="H156" s="31"/>
      <c r="I156" s="31"/>
      <c r="J156" s="31"/>
      <c r="K156" s="33"/>
      <c r="L156" s="31"/>
      <c r="M156" s="31"/>
      <c r="N156" s="34"/>
      <c r="O156" s="34"/>
    </row>
    <row r="157" spans="2:15" ht="24" customHeight="1" x14ac:dyDescent="0.25">
      <c r="B157" s="21" t="str">
        <f t="shared" si="4"/>
        <v/>
      </c>
      <c r="C157" s="22"/>
      <c r="D157" s="23"/>
      <c r="E157" s="24"/>
      <c r="F157" s="25"/>
      <c r="G157" s="24"/>
      <c r="H157" s="24"/>
      <c r="I157" s="24"/>
      <c r="J157" s="24"/>
      <c r="K157" s="26"/>
      <c r="L157" s="24"/>
      <c r="M157" s="24"/>
      <c r="N157" s="27"/>
      <c r="O157" s="27"/>
    </row>
    <row r="158" spans="2:15" ht="24" customHeight="1" x14ac:dyDescent="0.25">
      <c r="B158" s="28" t="str">
        <f t="shared" si="4"/>
        <v/>
      </c>
      <c r="C158" s="29"/>
      <c r="D158" s="30"/>
      <c r="E158" s="31"/>
      <c r="F158" s="32"/>
      <c r="G158" s="31"/>
      <c r="H158" s="31"/>
      <c r="I158" s="31"/>
      <c r="J158" s="31"/>
      <c r="K158" s="33"/>
      <c r="L158" s="31"/>
      <c r="M158" s="31"/>
      <c r="N158" s="34"/>
      <c r="O158" s="34"/>
    </row>
    <row r="159" spans="2:15" ht="24" customHeight="1" x14ac:dyDescent="0.25">
      <c r="B159" s="21" t="str">
        <f t="shared" si="4"/>
        <v/>
      </c>
      <c r="C159" s="22"/>
      <c r="D159" s="23"/>
      <c r="E159" s="24"/>
      <c r="F159" s="25"/>
      <c r="G159" s="24"/>
      <c r="H159" s="24"/>
      <c r="I159" s="24"/>
      <c r="J159" s="24"/>
      <c r="K159" s="26"/>
      <c r="L159" s="24"/>
      <c r="M159" s="24"/>
      <c r="N159" s="27"/>
      <c r="O159" s="27"/>
    </row>
    <row r="160" spans="2:15" ht="24" customHeight="1" x14ac:dyDescent="0.25">
      <c r="B160" s="28" t="str">
        <f t="shared" si="4"/>
        <v/>
      </c>
      <c r="C160" s="29"/>
      <c r="D160" s="30"/>
      <c r="E160" s="31"/>
      <c r="F160" s="32"/>
      <c r="G160" s="31"/>
      <c r="H160" s="31"/>
      <c r="I160" s="31"/>
      <c r="J160" s="31"/>
      <c r="K160" s="33"/>
      <c r="L160" s="31"/>
      <c r="M160" s="31"/>
      <c r="N160" s="34"/>
      <c r="O160" s="34"/>
    </row>
    <row r="161" spans="2:15" ht="24" customHeight="1" x14ac:dyDescent="0.25">
      <c r="B161" s="21" t="str">
        <f t="shared" si="4"/>
        <v/>
      </c>
      <c r="C161" s="22"/>
      <c r="D161" s="23"/>
      <c r="E161" s="24"/>
      <c r="F161" s="25"/>
      <c r="G161" s="24"/>
      <c r="H161" s="24"/>
      <c r="I161" s="24"/>
      <c r="J161" s="24"/>
      <c r="K161" s="26"/>
      <c r="L161" s="24"/>
      <c r="M161" s="24"/>
      <c r="N161" s="27"/>
      <c r="O161" s="27"/>
    </row>
    <row r="162" spans="2:15" ht="24" customHeight="1" x14ac:dyDescent="0.25">
      <c r="B162" s="28" t="str">
        <f t="shared" si="4"/>
        <v/>
      </c>
      <c r="C162" s="29"/>
      <c r="D162" s="30"/>
      <c r="E162" s="31"/>
      <c r="F162" s="32"/>
      <c r="G162" s="31"/>
      <c r="H162" s="31"/>
      <c r="I162" s="31"/>
      <c r="J162" s="31"/>
      <c r="K162" s="33"/>
      <c r="L162" s="31"/>
      <c r="M162" s="31"/>
      <c r="N162" s="34"/>
      <c r="O162" s="34"/>
    </row>
    <row r="163" spans="2:15" ht="24" customHeight="1" x14ac:dyDescent="0.25">
      <c r="B163" s="21" t="str">
        <f t="shared" si="4"/>
        <v/>
      </c>
      <c r="C163" s="22"/>
      <c r="D163" s="23"/>
      <c r="E163" s="24"/>
      <c r="F163" s="25"/>
      <c r="G163" s="24"/>
      <c r="H163" s="24"/>
      <c r="I163" s="24"/>
      <c r="J163" s="24"/>
      <c r="K163" s="26"/>
      <c r="L163" s="24"/>
      <c r="M163" s="24"/>
      <c r="N163" s="27"/>
      <c r="O163" s="27"/>
    </row>
    <row r="164" spans="2:15" ht="24" customHeight="1" x14ac:dyDescent="0.25">
      <c r="B164" s="28" t="str">
        <f t="shared" si="4"/>
        <v/>
      </c>
      <c r="C164" s="29"/>
      <c r="D164" s="30"/>
      <c r="E164" s="31"/>
      <c r="F164" s="32"/>
      <c r="G164" s="31"/>
      <c r="H164" s="31"/>
      <c r="I164" s="31"/>
      <c r="J164" s="31"/>
      <c r="K164" s="33"/>
      <c r="L164" s="31"/>
      <c r="M164" s="31"/>
      <c r="N164" s="34"/>
      <c r="O164" s="34"/>
    </row>
    <row r="165" spans="2:15" ht="24" customHeight="1" x14ac:dyDescent="0.25">
      <c r="B165" s="21" t="str">
        <f t="shared" ref="B165:B196" si="5">IF(C165="","",ROW()-5)</f>
        <v/>
      </c>
      <c r="C165" s="22"/>
      <c r="D165" s="23"/>
      <c r="E165" s="24"/>
      <c r="F165" s="25"/>
      <c r="G165" s="24"/>
      <c r="H165" s="24"/>
      <c r="I165" s="24"/>
      <c r="J165" s="24"/>
      <c r="K165" s="26"/>
      <c r="L165" s="24"/>
      <c r="M165" s="24"/>
      <c r="N165" s="27"/>
      <c r="O165" s="27"/>
    </row>
    <row r="166" spans="2:15" ht="24" customHeight="1" x14ac:dyDescent="0.25">
      <c r="B166" s="28" t="str">
        <f t="shared" si="5"/>
        <v/>
      </c>
      <c r="C166" s="29"/>
      <c r="D166" s="30"/>
      <c r="E166" s="31"/>
      <c r="F166" s="32"/>
      <c r="G166" s="31"/>
      <c r="H166" s="31"/>
      <c r="I166" s="31"/>
      <c r="J166" s="31"/>
      <c r="K166" s="33"/>
      <c r="L166" s="31"/>
      <c r="M166" s="31"/>
      <c r="N166" s="34"/>
      <c r="O166" s="34"/>
    </row>
    <row r="167" spans="2:15" ht="24" customHeight="1" x14ac:dyDescent="0.25">
      <c r="B167" s="21" t="str">
        <f t="shared" si="5"/>
        <v/>
      </c>
      <c r="C167" s="22"/>
      <c r="D167" s="23"/>
      <c r="E167" s="24"/>
      <c r="F167" s="25"/>
      <c r="G167" s="24"/>
      <c r="H167" s="24"/>
      <c r="I167" s="24"/>
      <c r="J167" s="24"/>
      <c r="K167" s="26"/>
      <c r="L167" s="24"/>
      <c r="M167" s="24"/>
      <c r="N167" s="27"/>
      <c r="O167" s="27"/>
    </row>
    <row r="168" spans="2:15" ht="24" customHeight="1" x14ac:dyDescent="0.25">
      <c r="B168" s="28" t="str">
        <f t="shared" si="5"/>
        <v/>
      </c>
      <c r="C168" s="29"/>
      <c r="D168" s="30"/>
      <c r="E168" s="31"/>
      <c r="F168" s="32"/>
      <c r="G168" s="31"/>
      <c r="H168" s="31"/>
      <c r="I168" s="31"/>
      <c r="J168" s="31"/>
      <c r="K168" s="33"/>
      <c r="L168" s="31"/>
      <c r="M168" s="31"/>
      <c r="N168" s="34"/>
      <c r="O168" s="34"/>
    </row>
    <row r="169" spans="2:15" ht="24" customHeight="1" x14ac:dyDescent="0.25">
      <c r="B169" s="21" t="str">
        <f t="shared" si="5"/>
        <v/>
      </c>
      <c r="C169" s="22"/>
      <c r="D169" s="23"/>
      <c r="E169" s="24"/>
      <c r="F169" s="25"/>
      <c r="G169" s="24"/>
      <c r="H169" s="24"/>
      <c r="I169" s="24"/>
      <c r="J169" s="24"/>
      <c r="K169" s="26"/>
      <c r="L169" s="24"/>
      <c r="M169" s="24"/>
      <c r="N169" s="27"/>
      <c r="O169" s="27"/>
    </row>
    <row r="170" spans="2:15" ht="24" customHeight="1" x14ac:dyDescent="0.25">
      <c r="B170" s="28" t="str">
        <f t="shared" si="5"/>
        <v/>
      </c>
      <c r="C170" s="29"/>
      <c r="D170" s="30"/>
      <c r="E170" s="31"/>
      <c r="F170" s="32"/>
      <c r="G170" s="31"/>
      <c r="H170" s="31"/>
      <c r="I170" s="31"/>
      <c r="J170" s="31"/>
      <c r="K170" s="33"/>
      <c r="L170" s="31"/>
      <c r="M170" s="31"/>
      <c r="N170" s="34"/>
      <c r="O170" s="34"/>
    </row>
    <row r="171" spans="2:15" ht="24" customHeight="1" x14ac:dyDescent="0.25">
      <c r="B171" s="21" t="str">
        <f t="shared" si="5"/>
        <v/>
      </c>
      <c r="C171" s="22"/>
      <c r="D171" s="23"/>
      <c r="E171" s="24"/>
      <c r="F171" s="25"/>
      <c r="G171" s="24"/>
      <c r="H171" s="24"/>
      <c r="I171" s="24"/>
      <c r="J171" s="24"/>
      <c r="K171" s="26"/>
      <c r="L171" s="24"/>
      <c r="M171" s="24"/>
      <c r="N171" s="27"/>
      <c r="O171" s="27"/>
    </row>
    <row r="172" spans="2:15" ht="24" customHeight="1" x14ac:dyDescent="0.25">
      <c r="B172" s="28" t="str">
        <f t="shared" si="5"/>
        <v/>
      </c>
      <c r="C172" s="29"/>
      <c r="D172" s="30"/>
      <c r="E172" s="31"/>
      <c r="F172" s="32"/>
      <c r="G172" s="31"/>
      <c r="H172" s="31"/>
      <c r="I172" s="31"/>
      <c r="J172" s="31"/>
      <c r="K172" s="33"/>
      <c r="L172" s="31"/>
      <c r="M172" s="31"/>
      <c r="N172" s="34"/>
      <c r="O172" s="34"/>
    </row>
    <row r="173" spans="2:15" ht="24" customHeight="1" x14ac:dyDescent="0.25">
      <c r="B173" s="21" t="str">
        <f t="shared" si="5"/>
        <v/>
      </c>
      <c r="C173" s="22"/>
      <c r="D173" s="23"/>
      <c r="E173" s="24"/>
      <c r="F173" s="25"/>
      <c r="G173" s="24"/>
      <c r="H173" s="24"/>
      <c r="I173" s="24"/>
      <c r="J173" s="24"/>
      <c r="K173" s="26"/>
      <c r="L173" s="24"/>
      <c r="M173" s="24"/>
      <c r="N173" s="27"/>
      <c r="O173" s="27"/>
    </row>
    <row r="174" spans="2:15" ht="24" customHeight="1" x14ac:dyDescent="0.25">
      <c r="B174" s="28" t="str">
        <f t="shared" si="5"/>
        <v/>
      </c>
      <c r="C174" s="29"/>
      <c r="D174" s="30"/>
      <c r="E174" s="31"/>
      <c r="F174" s="32"/>
      <c r="G174" s="31"/>
      <c r="H174" s="31"/>
      <c r="I174" s="31"/>
      <c r="J174" s="31"/>
      <c r="K174" s="33"/>
      <c r="L174" s="31"/>
      <c r="M174" s="31"/>
      <c r="N174" s="34"/>
      <c r="O174" s="34"/>
    </row>
    <row r="175" spans="2:15" ht="24" customHeight="1" x14ac:dyDescent="0.25">
      <c r="B175" s="21" t="str">
        <f t="shared" si="5"/>
        <v/>
      </c>
      <c r="C175" s="22"/>
      <c r="D175" s="23"/>
      <c r="E175" s="24"/>
      <c r="F175" s="25"/>
      <c r="G175" s="24"/>
      <c r="H175" s="24"/>
      <c r="I175" s="24"/>
      <c r="J175" s="24"/>
      <c r="K175" s="26"/>
      <c r="L175" s="24"/>
      <c r="M175" s="24"/>
      <c r="N175" s="27"/>
      <c r="O175" s="27"/>
    </row>
    <row r="176" spans="2:15" ht="24" customHeight="1" x14ac:dyDescent="0.25">
      <c r="B176" s="28" t="str">
        <f t="shared" si="5"/>
        <v/>
      </c>
      <c r="C176" s="29"/>
      <c r="D176" s="30"/>
      <c r="E176" s="31"/>
      <c r="F176" s="32"/>
      <c r="G176" s="31"/>
      <c r="H176" s="31"/>
      <c r="I176" s="31"/>
      <c r="J176" s="31"/>
      <c r="K176" s="33"/>
      <c r="L176" s="31"/>
      <c r="M176" s="31"/>
      <c r="N176" s="34"/>
      <c r="O176" s="34"/>
    </row>
    <row r="177" spans="2:15" ht="24" customHeight="1" x14ac:dyDescent="0.25">
      <c r="B177" s="21" t="str">
        <f t="shared" si="5"/>
        <v/>
      </c>
      <c r="C177" s="22"/>
      <c r="D177" s="23"/>
      <c r="E177" s="24"/>
      <c r="F177" s="25"/>
      <c r="G177" s="24"/>
      <c r="H177" s="24"/>
      <c r="I177" s="24"/>
      <c r="J177" s="24"/>
      <c r="K177" s="26"/>
      <c r="L177" s="24"/>
      <c r="M177" s="24"/>
      <c r="N177" s="27"/>
      <c r="O177" s="27"/>
    </row>
    <row r="178" spans="2:15" ht="24" customHeight="1" x14ac:dyDescent="0.25">
      <c r="B178" s="28" t="str">
        <f t="shared" si="5"/>
        <v/>
      </c>
      <c r="C178" s="29"/>
      <c r="D178" s="30"/>
      <c r="E178" s="31"/>
      <c r="F178" s="32"/>
      <c r="G178" s="31"/>
      <c r="H178" s="31"/>
      <c r="I178" s="31"/>
      <c r="J178" s="31"/>
      <c r="K178" s="33"/>
      <c r="L178" s="31"/>
      <c r="M178" s="31"/>
      <c r="N178" s="34"/>
      <c r="O178" s="34"/>
    </row>
    <row r="179" spans="2:15" ht="24" customHeight="1" x14ac:dyDescent="0.25">
      <c r="B179" s="21" t="str">
        <f t="shared" si="5"/>
        <v/>
      </c>
      <c r="C179" s="22"/>
      <c r="D179" s="23"/>
      <c r="E179" s="24"/>
      <c r="F179" s="25"/>
      <c r="G179" s="24"/>
      <c r="H179" s="24"/>
      <c r="I179" s="24"/>
      <c r="J179" s="24"/>
      <c r="K179" s="26"/>
      <c r="L179" s="24"/>
      <c r="M179" s="24"/>
      <c r="N179" s="27"/>
      <c r="O179" s="27"/>
    </row>
    <row r="180" spans="2:15" ht="24" customHeight="1" x14ac:dyDescent="0.25">
      <c r="B180" s="28" t="str">
        <f t="shared" si="5"/>
        <v/>
      </c>
      <c r="C180" s="29"/>
      <c r="D180" s="30"/>
      <c r="E180" s="31"/>
      <c r="F180" s="32"/>
      <c r="G180" s="31"/>
      <c r="H180" s="31"/>
      <c r="I180" s="31"/>
      <c r="J180" s="31"/>
      <c r="K180" s="33"/>
      <c r="L180" s="31"/>
      <c r="M180" s="31"/>
      <c r="N180" s="34"/>
      <c r="O180" s="34"/>
    </row>
    <row r="181" spans="2:15" ht="24" customHeight="1" x14ac:dyDescent="0.25">
      <c r="B181" s="21" t="str">
        <f t="shared" si="5"/>
        <v/>
      </c>
      <c r="C181" s="22"/>
      <c r="D181" s="23"/>
      <c r="E181" s="24"/>
      <c r="F181" s="25"/>
      <c r="G181" s="24"/>
      <c r="H181" s="24"/>
      <c r="I181" s="24"/>
      <c r="J181" s="24"/>
      <c r="K181" s="26"/>
      <c r="L181" s="24"/>
      <c r="M181" s="24"/>
      <c r="N181" s="27"/>
      <c r="O181" s="27"/>
    </row>
    <row r="182" spans="2:15" ht="24" customHeight="1" x14ac:dyDescent="0.25">
      <c r="B182" s="28" t="str">
        <f t="shared" si="5"/>
        <v/>
      </c>
      <c r="C182" s="29"/>
      <c r="D182" s="30"/>
      <c r="E182" s="31"/>
      <c r="F182" s="32"/>
      <c r="G182" s="31"/>
      <c r="H182" s="31"/>
      <c r="I182" s="31"/>
      <c r="J182" s="31"/>
      <c r="K182" s="33"/>
      <c r="L182" s="31"/>
      <c r="M182" s="31"/>
      <c r="N182" s="34"/>
      <c r="O182" s="34"/>
    </row>
    <row r="183" spans="2:15" ht="24" customHeight="1" x14ac:dyDescent="0.25">
      <c r="B183" s="21" t="str">
        <f t="shared" si="5"/>
        <v/>
      </c>
      <c r="C183" s="22"/>
      <c r="D183" s="23"/>
      <c r="E183" s="24"/>
      <c r="F183" s="25"/>
      <c r="G183" s="24"/>
      <c r="H183" s="24"/>
      <c r="I183" s="24"/>
      <c r="J183" s="24"/>
      <c r="K183" s="26"/>
      <c r="L183" s="24"/>
      <c r="M183" s="24"/>
      <c r="N183" s="27"/>
      <c r="O183" s="27"/>
    </row>
    <row r="184" spans="2:15" ht="24" customHeight="1" x14ac:dyDescent="0.25">
      <c r="B184" s="28" t="str">
        <f t="shared" si="5"/>
        <v/>
      </c>
      <c r="C184" s="29"/>
      <c r="D184" s="30"/>
      <c r="E184" s="31"/>
      <c r="F184" s="32"/>
      <c r="G184" s="31"/>
      <c r="H184" s="31"/>
      <c r="I184" s="31"/>
      <c r="J184" s="31"/>
      <c r="K184" s="33"/>
      <c r="L184" s="31"/>
      <c r="M184" s="31"/>
      <c r="N184" s="34"/>
      <c r="O184" s="34"/>
    </row>
    <row r="185" spans="2:15" ht="24" customHeight="1" x14ac:dyDescent="0.25">
      <c r="B185" s="21" t="str">
        <f t="shared" si="5"/>
        <v/>
      </c>
      <c r="C185" s="22"/>
      <c r="D185" s="23"/>
      <c r="E185" s="24"/>
      <c r="F185" s="25"/>
      <c r="G185" s="24"/>
      <c r="H185" s="24"/>
      <c r="I185" s="24"/>
      <c r="J185" s="24"/>
      <c r="K185" s="26"/>
      <c r="L185" s="24"/>
      <c r="M185" s="24"/>
      <c r="N185" s="27"/>
      <c r="O185" s="27"/>
    </row>
    <row r="186" spans="2:15" ht="24" customHeight="1" x14ac:dyDescent="0.25">
      <c r="B186" s="28" t="str">
        <f t="shared" si="5"/>
        <v/>
      </c>
      <c r="C186" s="29"/>
      <c r="D186" s="30"/>
      <c r="E186" s="31"/>
      <c r="F186" s="32"/>
      <c r="G186" s="31"/>
      <c r="H186" s="31"/>
      <c r="I186" s="31"/>
      <c r="J186" s="31"/>
      <c r="K186" s="33"/>
      <c r="L186" s="31"/>
      <c r="M186" s="31"/>
      <c r="N186" s="34"/>
      <c r="O186" s="34"/>
    </row>
    <row r="187" spans="2:15" ht="24" customHeight="1" x14ac:dyDescent="0.25">
      <c r="B187" s="21" t="str">
        <f t="shared" si="5"/>
        <v/>
      </c>
      <c r="C187" s="22"/>
      <c r="D187" s="23"/>
      <c r="E187" s="24"/>
      <c r="F187" s="25"/>
      <c r="G187" s="24"/>
      <c r="H187" s="24"/>
      <c r="I187" s="24"/>
      <c r="J187" s="24"/>
      <c r="K187" s="26"/>
      <c r="L187" s="24"/>
      <c r="M187" s="24"/>
      <c r="N187" s="27"/>
      <c r="O187" s="27"/>
    </row>
    <row r="188" spans="2:15" ht="24" customHeight="1" x14ac:dyDescent="0.25">
      <c r="B188" s="28" t="str">
        <f t="shared" si="5"/>
        <v/>
      </c>
      <c r="C188" s="29"/>
      <c r="D188" s="30"/>
      <c r="E188" s="31"/>
      <c r="F188" s="32"/>
      <c r="G188" s="31"/>
      <c r="H188" s="31"/>
      <c r="I188" s="31"/>
      <c r="J188" s="31"/>
      <c r="K188" s="33"/>
      <c r="L188" s="31"/>
      <c r="M188" s="31"/>
      <c r="N188" s="34"/>
      <c r="O188" s="34"/>
    </row>
    <row r="189" spans="2:15" ht="24" customHeight="1" x14ac:dyDescent="0.25">
      <c r="B189" s="21" t="str">
        <f t="shared" si="5"/>
        <v/>
      </c>
      <c r="C189" s="22"/>
      <c r="D189" s="23"/>
      <c r="E189" s="24"/>
      <c r="F189" s="25"/>
      <c r="G189" s="24"/>
      <c r="H189" s="24"/>
      <c r="I189" s="24"/>
      <c r="J189" s="24"/>
      <c r="K189" s="26"/>
      <c r="L189" s="24"/>
      <c r="M189" s="24"/>
      <c r="N189" s="27"/>
      <c r="O189" s="27"/>
    </row>
    <row r="190" spans="2:15" ht="24" customHeight="1" x14ac:dyDescent="0.25">
      <c r="B190" s="28" t="str">
        <f t="shared" si="5"/>
        <v/>
      </c>
      <c r="C190" s="29"/>
      <c r="D190" s="30"/>
      <c r="E190" s="31"/>
      <c r="F190" s="32"/>
      <c r="G190" s="31"/>
      <c r="H190" s="31"/>
      <c r="I190" s="31"/>
      <c r="J190" s="31"/>
      <c r="K190" s="33"/>
      <c r="L190" s="31"/>
      <c r="M190" s="31"/>
      <c r="N190" s="34"/>
      <c r="O190" s="34"/>
    </row>
    <row r="191" spans="2:15" ht="24" customHeight="1" x14ac:dyDescent="0.25">
      <c r="B191" s="21" t="str">
        <f t="shared" si="5"/>
        <v/>
      </c>
      <c r="C191" s="22"/>
      <c r="D191" s="23"/>
      <c r="E191" s="24"/>
      <c r="F191" s="25"/>
      <c r="G191" s="24"/>
      <c r="H191" s="24"/>
      <c r="I191" s="24"/>
      <c r="J191" s="24"/>
      <c r="K191" s="26"/>
      <c r="L191" s="24"/>
      <c r="M191" s="24"/>
      <c r="N191" s="27"/>
      <c r="O191" s="27"/>
    </row>
    <row r="192" spans="2:15" ht="24" customHeight="1" x14ac:dyDescent="0.25">
      <c r="B192" s="28" t="str">
        <f t="shared" si="5"/>
        <v/>
      </c>
      <c r="C192" s="29"/>
      <c r="D192" s="30"/>
      <c r="E192" s="31"/>
      <c r="F192" s="32"/>
      <c r="G192" s="31"/>
      <c r="H192" s="31"/>
      <c r="I192" s="31"/>
      <c r="J192" s="31"/>
      <c r="K192" s="33"/>
      <c r="L192" s="31"/>
      <c r="M192" s="31"/>
      <c r="N192" s="34"/>
      <c r="O192" s="34"/>
    </row>
    <row r="193" spans="2:15" ht="24" customHeight="1" x14ac:dyDescent="0.25">
      <c r="B193" s="21" t="str">
        <f t="shared" si="5"/>
        <v/>
      </c>
      <c r="C193" s="22"/>
      <c r="D193" s="23"/>
      <c r="E193" s="24"/>
      <c r="F193" s="25"/>
      <c r="G193" s="24"/>
      <c r="H193" s="24"/>
      <c r="I193" s="24"/>
      <c r="J193" s="24"/>
      <c r="K193" s="26"/>
      <c r="L193" s="24"/>
      <c r="M193" s="24"/>
      <c r="N193" s="27"/>
      <c r="O193" s="27"/>
    </row>
    <row r="194" spans="2:15" ht="24" customHeight="1" x14ac:dyDescent="0.25">
      <c r="B194" s="28" t="str">
        <f t="shared" si="5"/>
        <v/>
      </c>
      <c r="C194" s="29"/>
      <c r="D194" s="30"/>
      <c r="E194" s="31"/>
      <c r="F194" s="32"/>
      <c r="G194" s="31"/>
      <c r="H194" s="31"/>
      <c r="I194" s="31"/>
      <c r="J194" s="31"/>
      <c r="K194" s="33"/>
      <c r="L194" s="31"/>
      <c r="M194" s="31"/>
      <c r="N194" s="34"/>
      <c r="O194" s="34"/>
    </row>
    <row r="195" spans="2:15" ht="24" customHeight="1" x14ac:dyDescent="0.25">
      <c r="B195" s="21" t="str">
        <f t="shared" si="5"/>
        <v/>
      </c>
      <c r="C195" s="22"/>
      <c r="D195" s="23"/>
      <c r="E195" s="24"/>
      <c r="F195" s="25"/>
      <c r="G195" s="24"/>
      <c r="H195" s="24"/>
      <c r="I195" s="24"/>
      <c r="J195" s="24"/>
      <c r="K195" s="26"/>
      <c r="L195" s="24"/>
      <c r="M195" s="24"/>
      <c r="N195" s="27"/>
      <c r="O195" s="27"/>
    </row>
    <row r="196" spans="2:15" ht="24" customHeight="1" x14ac:dyDescent="0.25">
      <c r="B196" s="28" t="str">
        <f t="shared" si="5"/>
        <v/>
      </c>
      <c r="C196" s="29"/>
      <c r="D196" s="30"/>
      <c r="E196" s="31"/>
      <c r="F196" s="32"/>
      <c r="G196" s="31"/>
      <c r="H196" s="31"/>
      <c r="I196" s="31"/>
      <c r="J196" s="31"/>
      <c r="K196" s="33"/>
      <c r="L196" s="31"/>
      <c r="M196" s="31"/>
      <c r="N196" s="34"/>
      <c r="O196" s="34"/>
    </row>
    <row r="197" spans="2:15" ht="24" customHeight="1" x14ac:dyDescent="0.25">
      <c r="B197" s="21" t="str">
        <f t="shared" ref="B197:B228" si="6">IF(C197="","",ROW()-5)</f>
        <v/>
      </c>
      <c r="C197" s="22"/>
      <c r="D197" s="23"/>
      <c r="E197" s="24"/>
      <c r="F197" s="25"/>
      <c r="G197" s="24"/>
      <c r="H197" s="24"/>
      <c r="I197" s="24"/>
      <c r="J197" s="24"/>
      <c r="K197" s="26"/>
      <c r="L197" s="24"/>
      <c r="M197" s="24"/>
      <c r="N197" s="27"/>
      <c r="O197" s="27"/>
    </row>
    <row r="198" spans="2:15" ht="24" customHeight="1" x14ac:dyDescent="0.25">
      <c r="B198" s="28" t="str">
        <f t="shared" si="6"/>
        <v/>
      </c>
      <c r="C198" s="29"/>
      <c r="D198" s="30"/>
      <c r="E198" s="31"/>
      <c r="F198" s="32"/>
      <c r="G198" s="31"/>
      <c r="H198" s="31"/>
      <c r="I198" s="31"/>
      <c r="J198" s="31"/>
      <c r="K198" s="33"/>
      <c r="L198" s="31"/>
      <c r="M198" s="31"/>
      <c r="N198" s="34"/>
      <c r="O198" s="34"/>
    </row>
    <row r="199" spans="2:15" ht="24" customHeight="1" x14ac:dyDescent="0.25">
      <c r="B199" s="21" t="str">
        <f t="shared" si="6"/>
        <v/>
      </c>
      <c r="C199" s="22"/>
      <c r="D199" s="23"/>
      <c r="E199" s="24"/>
      <c r="F199" s="25"/>
      <c r="G199" s="24"/>
      <c r="H199" s="24"/>
      <c r="I199" s="24"/>
      <c r="J199" s="24"/>
      <c r="K199" s="26"/>
      <c r="L199" s="24"/>
      <c r="M199" s="24"/>
      <c r="N199" s="27"/>
      <c r="O199" s="27"/>
    </row>
    <row r="200" spans="2:15" ht="24" customHeight="1" x14ac:dyDescent="0.25">
      <c r="B200" s="28" t="str">
        <f t="shared" si="6"/>
        <v/>
      </c>
      <c r="C200" s="29"/>
      <c r="D200" s="30"/>
      <c r="E200" s="31"/>
      <c r="F200" s="32"/>
      <c r="G200" s="31"/>
      <c r="H200" s="31"/>
      <c r="I200" s="31"/>
      <c r="J200" s="31"/>
      <c r="K200" s="33"/>
      <c r="L200" s="31"/>
      <c r="M200" s="31"/>
      <c r="N200" s="34"/>
      <c r="O200" s="34"/>
    </row>
    <row r="201" spans="2:15" ht="24" customHeight="1" x14ac:dyDescent="0.25">
      <c r="B201" s="21" t="str">
        <f t="shared" si="6"/>
        <v/>
      </c>
      <c r="C201" s="22"/>
      <c r="D201" s="23"/>
      <c r="E201" s="24"/>
      <c r="F201" s="25"/>
      <c r="G201" s="24"/>
      <c r="H201" s="24"/>
      <c r="I201" s="24"/>
      <c r="J201" s="24"/>
      <c r="K201" s="26"/>
      <c r="L201" s="24"/>
      <c r="M201" s="24"/>
      <c r="N201" s="27"/>
      <c r="O201" s="27"/>
    </row>
    <row r="202" spans="2:15" ht="24" customHeight="1" x14ac:dyDescent="0.25">
      <c r="B202" s="28" t="str">
        <f t="shared" si="6"/>
        <v/>
      </c>
      <c r="C202" s="29"/>
      <c r="D202" s="30"/>
      <c r="E202" s="31"/>
      <c r="F202" s="32"/>
      <c r="G202" s="31"/>
      <c r="H202" s="31"/>
      <c r="I202" s="31"/>
      <c r="J202" s="31"/>
      <c r="K202" s="33"/>
      <c r="L202" s="31"/>
      <c r="M202" s="31"/>
      <c r="N202" s="34"/>
      <c r="O202" s="34"/>
    </row>
    <row r="203" spans="2:15" ht="24" customHeight="1" x14ac:dyDescent="0.25">
      <c r="B203" s="21" t="str">
        <f t="shared" si="6"/>
        <v/>
      </c>
      <c r="C203" s="22"/>
      <c r="D203" s="23"/>
      <c r="E203" s="24"/>
      <c r="F203" s="25"/>
      <c r="G203" s="24"/>
      <c r="H203" s="24"/>
      <c r="I203" s="24"/>
      <c r="J203" s="24"/>
      <c r="K203" s="26"/>
      <c r="L203" s="24"/>
      <c r="M203" s="24"/>
      <c r="N203" s="27"/>
      <c r="O203" s="27"/>
    </row>
    <row r="204" spans="2:15" ht="24" customHeight="1" x14ac:dyDescent="0.25">
      <c r="B204" s="28" t="str">
        <f t="shared" si="6"/>
        <v/>
      </c>
      <c r="C204" s="29"/>
      <c r="D204" s="30"/>
      <c r="E204" s="31"/>
      <c r="F204" s="32"/>
      <c r="G204" s="31"/>
      <c r="H204" s="31"/>
      <c r="I204" s="31"/>
      <c r="J204" s="31"/>
      <c r="K204" s="33"/>
      <c r="L204" s="31"/>
      <c r="M204" s="31"/>
      <c r="N204" s="34"/>
      <c r="O204" s="34"/>
    </row>
  </sheetData>
  <mergeCells count="4">
    <mergeCell ref="B3:F3"/>
    <mergeCell ref="L3:O3"/>
    <mergeCell ref="G3:I3"/>
    <mergeCell ref="J3:K3"/>
  </mergeCells>
  <conditionalFormatting sqref="G5:G204">
    <cfRule type="cellIs" dxfId="7" priority="2" operator="equal">
      <formula>"Sim"</formula>
    </cfRule>
    <cfRule type="cellIs" dxfId="6" priority="3" operator="equal">
      <formula>"Não"</formula>
    </cfRule>
  </conditionalFormatting>
  <conditionalFormatting sqref="I5:I204">
    <cfRule type="cellIs" dxfId="5" priority="4" operator="equal">
      <formula>"Sim"</formula>
    </cfRule>
    <cfRule type="cellIs" dxfId="4" priority="5" operator="equal">
      <formula>"Não"</formula>
    </cfRule>
  </conditionalFormatting>
  <conditionalFormatting sqref="K5:K204">
    <cfRule type="expression" dxfId="3" priority="6">
      <formula>AND(ISNUMBER($K5),$K5&gt;0)</formula>
    </cfRule>
    <cfRule type="expression" dxfId="2" priority="7">
      <formula>AND(ISNUMBER($K5),$K5&lt;0)</formula>
    </cfRule>
  </conditionalFormatting>
  <conditionalFormatting sqref="L5:M204">
    <cfRule type="expression" dxfId="1" priority="8">
      <formula>OR(L5="Calmo",L5="Confiante",L5="Focado")</formula>
    </cfRule>
    <cfRule type="expression" dxfId="0" priority="9">
      <formula>OR(L5="Impaciente",L5="Ansioso",L5="Com medo",L5="Ganancioso",L5="Eufórico",L5="Frustrado",L5="Irritado")</formula>
    </cfRule>
  </conditionalFormatting>
  <dataValidations count="3">
    <dataValidation type="list" allowBlank="1" showErrorMessage="1" errorTitle="Valor inválido" error="Escolha um item da lista." sqref="G5:G204 I5:I204" xr:uid="{00000000-0002-0000-0100-000000000000}">
      <formula1>"Sim,Não"</formula1>
      <formula2>0</formula2>
    </dataValidation>
    <dataValidation type="list" allowBlank="1" showErrorMessage="1" errorTitle="Valor inválido" error="Escolha um item da lista." sqref="E5:E204" xr:uid="{00000000-0002-0000-0100-000001000000}">
      <formula1>"Compra,Venda"</formula1>
      <formula2>0</formula2>
    </dataValidation>
    <dataValidation type="whole" operator="greaterThanOrEqual" allowBlank="1" showErrorMessage="1" errorTitle="Mínimo de 5 contratos" error="A estratégia pede no mínimo 5 contratos." sqref="F5:F204" xr:uid="{00000000-0002-0000-0100-000005000000}">
      <formula1>5</formula1>
      <formula2>0</formula2>
    </dataValidation>
  </dataValidations>
  <pageMargins left="0.75" right="0.75" top="1" bottom="1" header="0.511811023622047" footer="0.5"/>
  <pageSetup paperSize="9" fitToHeight="0" orientation="landscape" horizontalDpi="300" verticalDpi="300"/>
  <headerFooter>
    <oddFooter>&amp;C&amp;7 Diário de Execução 40P · Material educacional. Não é recomendação de compra ou venda de ativos nem promessa de resultado; operar no mercado financeiro envolve risco de perda.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Valor inválido" error="Escolha um item da lista." xr:uid="{00000000-0002-0000-0100-000002000000}">
          <x14:formula1>
            <xm:f>Listas!$C$5:$C$8</xm:f>
          </x14:formula1>
          <x14:formula2>
            <xm:f>0</xm:f>
          </x14:formula2>
          <xm:sqref>H5:H204</xm:sqref>
        </x14:dataValidation>
        <x14:dataValidation type="list" allowBlank="1" showErrorMessage="1" errorTitle="Valor inválido" error="Escolha um item da lista." xr:uid="{00000000-0002-0000-0100-000003000000}">
          <x14:formula1>
            <xm:f>Listas!$D$5:$D$8</xm:f>
          </x14:formula1>
          <x14:formula2>
            <xm:f>0</xm:f>
          </x14:formula2>
          <xm:sqref>J5:J204</xm:sqref>
        </x14:dataValidation>
        <x14:dataValidation type="list" allowBlank="1" showErrorMessage="1" errorTitle="Valor inválido" error="Escolha um item da lista." xr:uid="{00000000-0002-0000-0100-000004000000}">
          <x14:formula1>
            <xm:f>Listas!$B$5:$B$16</xm:f>
          </x14:formula1>
          <x14:formula2>
            <xm:f>0</xm:f>
          </x14:formula2>
          <xm:sqref>L5:M204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AE0B"/>
    <pageSetUpPr fitToPage="1"/>
  </sheetPr>
  <dimension ref="B1:O54"/>
  <sheetViews>
    <sheetView showGridLines="0" zoomScaleNormal="100" workbookViewId="0"/>
  </sheetViews>
  <sheetFormatPr defaultColWidth="8.7109375" defaultRowHeight="15" x14ac:dyDescent="0.25"/>
  <cols>
    <col min="1" max="1" width="1.28515625" customWidth="1"/>
    <col min="2" max="2" width="2.42578125" customWidth="1"/>
    <col min="3" max="14" width="10.5703125" customWidth="1"/>
    <col min="15" max="15" width="2.42578125" customWidth="1"/>
  </cols>
  <sheetData>
    <row r="1" spans="2:15" ht="7.5" customHeight="1" x14ac:dyDescent="0.25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2:15" ht="37.5" customHeight="1" x14ac:dyDescent="0.25">
      <c r="B2" s="15"/>
      <c r="C2" s="35" t="s">
        <v>67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2:15" ht="19.5" customHeight="1" x14ac:dyDescent="0.25">
      <c r="B3" s="15"/>
      <c r="C3" s="36" t="s">
        <v>68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2:15" ht="4.5" customHeight="1" x14ac:dyDescent="0.2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</row>
    <row r="6" spans="2:15" ht="21.75" customHeight="1" x14ac:dyDescent="0.25">
      <c r="C6" s="62" t="s">
        <v>69</v>
      </c>
      <c r="D6" s="62"/>
      <c r="E6" s="62"/>
      <c r="F6" s="63" t="s">
        <v>70</v>
      </c>
      <c r="G6" s="63"/>
      <c r="H6" s="63"/>
      <c r="I6" s="64" t="s">
        <v>71</v>
      </c>
      <c r="J6" s="64"/>
      <c r="K6" s="64"/>
      <c r="L6" s="65" t="s">
        <v>72</v>
      </c>
      <c r="M6" s="65"/>
      <c r="N6" s="65"/>
    </row>
    <row r="7" spans="2:15" ht="19.5" customHeight="1" x14ac:dyDescent="0.25">
      <c r="C7" s="66">
        <f>Tabelas!C5</f>
        <v>1</v>
      </c>
      <c r="D7" s="66"/>
      <c r="E7" s="66"/>
      <c r="F7" s="67">
        <f>Tabelas!C6</f>
        <v>500</v>
      </c>
      <c r="G7" s="67"/>
      <c r="H7" s="67"/>
      <c r="I7" s="68">
        <f>Tabelas!C7</f>
        <v>500</v>
      </c>
      <c r="J7" s="68"/>
      <c r="K7" s="68"/>
      <c r="L7" s="69">
        <f>IFERROR(Tabelas!C8/Tabelas!C5,"-")</f>
        <v>1</v>
      </c>
      <c r="M7" s="69"/>
      <c r="N7" s="69"/>
    </row>
    <row r="8" spans="2:15" ht="19.5" customHeight="1" x14ac:dyDescent="0.25">
      <c r="C8" s="66"/>
      <c r="D8" s="66"/>
      <c r="E8" s="66"/>
      <c r="F8" s="67"/>
      <c r="G8" s="67"/>
      <c r="H8" s="67"/>
      <c r="I8" s="68"/>
      <c r="J8" s="68"/>
      <c r="K8" s="68"/>
      <c r="L8" s="69"/>
      <c r="M8" s="69"/>
      <c r="N8" s="69"/>
    </row>
    <row r="9" spans="2:15" ht="9.75" customHeight="1" x14ac:dyDescent="0.25"/>
    <row r="10" spans="2:15" ht="21.75" customHeight="1" x14ac:dyDescent="0.25">
      <c r="C10" s="63" t="s">
        <v>73</v>
      </c>
      <c r="D10" s="63"/>
      <c r="E10" s="63"/>
      <c r="F10" s="70" t="s">
        <v>74</v>
      </c>
      <c r="G10" s="70"/>
      <c r="H10" s="70"/>
      <c r="I10" s="64" t="s">
        <v>75</v>
      </c>
      <c r="J10" s="64"/>
      <c r="K10" s="64"/>
      <c r="L10" s="62" t="s">
        <v>76</v>
      </c>
      <c r="M10" s="62"/>
      <c r="N10" s="62"/>
    </row>
    <row r="11" spans="2:15" ht="19.5" customHeight="1" x14ac:dyDescent="0.25">
      <c r="C11" s="66">
        <f>Tabelas!C8</f>
        <v>1</v>
      </c>
      <c r="D11" s="66"/>
      <c r="E11" s="66"/>
      <c r="F11" s="66">
        <f>Tabelas!C9</f>
        <v>0</v>
      </c>
      <c r="G11" s="66"/>
      <c r="H11" s="66"/>
      <c r="I11" s="67">
        <f>IF(Tabelas!$C$5=0,"-",MAX(Diário!$K$5:$K$204))</f>
        <v>500</v>
      </c>
      <c r="J11" s="67"/>
      <c r="K11" s="67"/>
      <c r="L11" s="67">
        <f>IF(Tabelas!$C$5=0,"-",MIN(Diário!$K$5:$K$204))</f>
        <v>500</v>
      </c>
      <c r="M11" s="67"/>
      <c r="N11" s="67"/>
    </row>
    <row r="12" spans="2:15" ht="19.5" customHeight="1" x14ac:dyDescent="0.25">
      <c r="C12" s="66"/>
      <c r="D12" s="66"/>
      <c r="E12" s="66"/>
      <c r="F12" s="66"/>
      <c r="G12" s="66"/>
      <c r="H12" s="66"/>
      <c r="I12" s="67"/>
      <c r="J12" s="67"/>
      <c r="K12" s="67"/>
      <c r="L12" s="67"/>
      <c r="M12" s="67"/>
      <c r="N12" s="67"/>
    </row>
    <row r="14" spans="2:15" ht="18" x14ac:dyDescent="0.25">
      <c r="C14" s="71" t="s">
        <v>77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</row>
    <row r="15" spans="2:15" ht="24" customHeight="1" x14ac:dyDescent="0.25">
      <c r="C15" s="37" t="s">
        <v>78</v>
      </c>
      <c r="D15" s="72" t="str">
        <f>IF(Tabelas!$C$5=0,"Registre operações na aba Diário e este painel passa a mostrar a sua leitura.","Você registrou "&amp;Tabelas!$C$5&amp;" operações: "&amp;Tabelas!C8&amp;" positivas e "&amp;Tabelas!C9&amp;" negativas.")</f>
        <v>Você registrou 1 operações: 1 positivas e 0 negativas.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</row>
    <row r="16" spans="2:15" ht="24" customHeight="1" x14ac:dyDescent="0.25">
      <c r="C16" s="37" t="s">
        <v>78</v>
      </c>
      <c r="D16" s="72" t="str">
        <f>IF(Tabelas!$C$5=0,"","Quando a tendência estava definida, a média foi de "&amp;IFERROR(ROUND(Tabelas!D12,1)&amp;" pontos","(sem dados)")&amp;"; quando não estava, "&amp;IFERROR(ROUND(Tabelas!E12,1)&amp;" pontos","(sem dados)")&amp;".")</f>
        <v>Quando a tendência estava definida, a média foi de 500 pontos; quando não estava, (sem dados).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</row>
    <row r="17" spans="3:14" ht="24" customHeight="1" x14ac:dyDescent="0.25">
      <c r="C17" s="37" t="s">
        <v>78</v>
      </c>
      <c r="D17" s="72" t="str">
        <f>IF(Tabelas!$C$5=0,"","Com stop e alvo definidos antes, a média foi de "&amp;IFERROR(ROUND(Tabelas!D13,1)&amp;" pontos","(sem dados)")&amp;"; sem eles, "&amp;IFERROR(ROUND(Tabelas!E13,1)&amp;" pontos","(sem dados)")&amp;".")</f>
        <v>Com stop e alvo definidos antes, a média foi de 500 pontos; sem eles, (sem dados).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</row>
    <row r="18" spans="3:14" ht="24" customHeight="1" x14ac:dyDescent="0.25">
      <c r="C18" s="37" t="s">
        <v>78</v>
      </c>
      <c r="D18" s="72" t="str">
        <f>IF(MAX(Tabelas!C29:C40)=0,"","Emoção mais frequente ao entrar: "&amp;INDEX(Tabelas!B29:B40,MATCH(MAX(Tabelas!C29:C40),Tabelas!C29:C40,0))&amp;".")</f>
        <v>Emoção mais frequente ao entrar: Confiante.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</row>
    <row r="20" spans="3:14" ht="18" x14ac:dyDescent="0.25">
      <c r="C20" s="71" t="s">
        <v>79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</row>
    <row r="54" spans="3:14" ht="24" customHeight="1" x14ac:dyDescent="0.25">
      <c r="C54" s="73" t="s">
        <v>64</v>
      </c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</row>
  </sheetData>
  <mergeCells count="23">
    <mergeCell ref="C20:N20"/>
    <mergeCell ref="C54:N54"/>
    <mergeCell ref="C14:N14"/>
    <mergeCell ref="D15:N15"/>
    <mergeCell ref="D16:N16"/>
    <mergeCell ref="D17:N17"/>
    <mergeCell ref="D18:N18"/>
    <mergeCell ref="C10:E10"/>
    <mergeCell ref="F10:H10"/>
    <mergeCell ref="I10:K10"/>
    <mergeCell ref="L10:N10"/>
    <mergeCell ref="C11:E12"/>
    <mergeCell ref="F11:H12"/>
    <mergeCell ref="I11:K12"/>
    <mergeCell ref="L11:N12"/>
    <mergeCell ref="C6:E6"/>
    <mergeCell ref="F6:H6"/>
    <mergeCell ref="I6:K6"/>
    <mergeCell ref="L6:N6"/>
    <mergeCell ref="C7:E8"/>
    <mergeCell ref="F7:H8"/>
    <mergeCell ref="I7:K8"/>
    <mergeCell ref="L7:N8"/>
  </mergeCells>
  <pageMargins left="0.75" right="0.75" top="1" bottom="1" header="0.511811023622047" footer="0.5"/>
  <pageSetup paperSize="9" fitToHeight="0" orientation="portrait" horizontalDpi="300" verticalDpi="300"/>
  <headerFooter>
    <oddFooter>&amp;C&amp;7 Diário de Execução 40P · Material educacional. Não é recomendação de compra ou venda de ativos nem promessa de resultado; operar no mercado financeiro envolve risco de perda.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A9893"/>
    <pageSetUpPr fitToPage="1"/>
  </sheetPr>
  <dimension ref="B1:E40"/>
  <sheetViews>
    <sheetView showGridLines="0" zoomScaleNormal="100" workbookViewId="0"/>
  </sheetViews>
  <sheetFormatPr defaultColWidth="8.7109375" defaultRowHeight="15" x14ac:dyDescent="0.25"/>
  <cols>
    <col min="1" max="1" width="1.140625" customWidth="1"/>
    <col min="2" max="2" width="40" customWidth="1"/>
    <col min="3" max="4" width="18" customWidth="1"/>
    <col min="5" max="5" width="20" bestFit="1" customWidth="1"/>
  </cols>
  <sheetData>
    <row r="1" spans="2:5" ht="31.5" customHeight="1" x14ac:dyDescent="0.35">
      <c r="B1" s="38" t="s">
        <v>80</v>
      </c>
      <c r="C1" s="15"/>
      <c r="D1" s="15"/>
      <c r="E1" s="15"/>
    </row>
    <row r="2" spans="2:5" x14ac:dyDescent="0.25">
      <c r="B2" s="36" t="s">
        <v>81</v>
      </c>
      <c r="C2" s="15"/>
      <c r="D2" s="15"/>
      <c r="E2" s="15"/>
    </row>
    <row r="4" spans="2:5" x14ac:dyDescent="0.25">
      <c r="B4" s="39" t="s">
        <v>82</v>
      </c>
      <c r="C4" s="40"/>
      <c r="D4" s="40"/>
      <c r="E4" s="40"/>
    </row>
    <row r="5" spans="2:5" x14ac:dyDescent="0.25">
      <c r="B5" s="41" t="s">
        <v>83</v>
      </c>
      <c r="C5" s="42">
        <f>COUNT(Diário!$C$5:$C$204)</f>
        <v>1</v>
      </c>
    </row>
    <row r="6" spans="2:5" x14ac:dyDescent="0.25">
      <c r="B6" s="43" t="s">
        <v>84</v>
      </c>
      <c r="C6" s="44">
        <f>SUM(Diário!$K$5:$K$204)</f>
        <v>500</v>
      </c>
    </row>
    <row r="7" spans="2:5" x14ac:dyDescent="0.25">
      <c r="B7" s="41" t="s">
        <v>85</v>
      </c>
      <c r="C7" s="45">
        <f>IFERROR(AVERAGE(Diário!$K$5:$K$204),"-")</f>
        <v>500</v>
      </c>
    </row>
    <row r="8" spans="2:5" x14ac:dyDescent="0.25">
      <c r="B8" s="43" t="s">
        <v>86</v>
      </c>
      <c r="C8" s="46">
        <f>COUNTIF(Diário!$K$5:$K$204,"&gt;0")</f>
        <v>1</v>
      </c>
    </row>
    <row r="9" spans="2:5" x14ac:dyDescent="0.25">
      <c r="B9" s="41" t="s">
        <v>87</v>
      </c>
      <c r="C9" s="42">
        <f>COUNTIF(Diário!$K$5:$K$204,"&lt;0")</f>
        <v>0</v>
      </c>
    </row>
    <row r="11" spans="2:5" x14ac:dyDescent="0.25">
      <c r="B11" s="39" t="s">
        <v>88</v>
      </c>
      <c r="C11" s="47" t="s">
        <v>89</v>
      </c>
      <c r="D11" s="47" t="s">
        <v>90</v>
      </c>
      <c r="E11" s="47" t="s">
        <v>91</v>
      </c>
    </row>
    <row r="12" spans="2:5" x14ac:dyDescent="0.25">
      <c r="B12" s="43" t="s">
        <v>92</v>
      </c>
      <c r="C12" s="48">
        <f>IFERROR(COUNTIF(Diário!$G$5:$G$204,"Sim")/(COUNTIF(Diário!$G$5:$G$204,"Sim")+COUNTIF(Diário!$G$5:$G$204,"Não")),"-")</f>
        <v>1</v>
      </c>
      <c r="D12" s="49">
        <f>IFERROR(AVERAGEIFS(Diário!$K$5:$K$204,Diário!$G$5:$G$204,"Sim"),"-")</f>
        <v>500</v>
      </c>
      <c r="E12" s="49" t="str">
        <f>IFERROR(AVERAGEIFS(Diário!$K$5:$K$204,Diário!$G$5:$G$204,"Não"),"-")</f>
        <v>-</v>
      </c>
    </row>
    <row r="13" spans="2:5" x14ac:dyDescent="0.25">
      <c r="B13" s="41" t="s">
        <v>93</v>
      </c>
      <c r="C13" s="50">
        <f>IFERROR(COUNTIF(Diário!$I$5:$I$204,"Sim")/(COUNTIF(Diário!$I$5:$I$204,"Sim")+COUNTIF(Diário!$I$5:$I$204,"Não")),"-")</f>
        <v>1</v>
      </c>
      <c r="D13" s="45">
        <f>IFERROR(AVERAGEIFS(Diário!$K$5:$K$204,Diário!$I$5:$I$204,"Sim"),"-")</f>
        <v>500</v>
      </c>
      <c r="E13" s="45" t="str">
        <f>IFERROR(AVERAGEIFS(Diário!$K$5:$K$204,Diário!$I$5:$I$204,"Não"),"-")</f>
        <v>-</v>
      </c>
    </row>
    <row r="14" spans="2:5" x14ac:dyDescent="0.25">
      <c r="B14" s="51" t="s">
        <v>94</v>
      </c>
    </row>
    <row r="16" spans="2:5" x14ac:dyDescent="0.25">
      <c r="B16" s="39" t="s">
        <v>43</v>
      </c>
      <c r="C16" s="47" t="s">
        <v>95</v>
      </c>
      <c r="D16" s="47" t="s">
        <v>96</v>
      </c>
      <c r="E16" s="40"/>
    </row>
    <row r="17" spans="2:5" x14ac:dyDescent="0.25">
      <c r="B17" s="41" t="str">
        <f>Listas!C5</f>
        <v>Pullback</v>
      </c>
      <c r="C17" s="42">
        <f>COUNTIF(Diário!$H$5:$H$204,$B17)</f>
        <v>0</v>
      </c>
      <c r="D17" s="52">
        <f>SUMIFS(Diário!$K$5:$K$204,Diário!$H$5:$H$204,$B17)</f>
        <v>0</v>
      </c>
    </row>
    <row r="18" spans="2:5" x14ac:dyDescent="0.25">
      <c r="B18" s="43" t="str">
        <f>Listas!C6</f>
        <v>Ponto de parada</v>
      </c>
      <c r="C18" s="46">
        <f>COUNTIF(Diário!$H$5:$H$204,$B18)</f>
        <v>1</v>
      </c>
      <c r="D18" s="44">
        <f>SUMIFS(Diário!$K$5:$K$204,Diário!$H$5:$H$204,$B18)</f>
        <v>500</v>
      </c>
    </row>
    <row r="19" spans="2:5" x14ac:dyDescent="0.25">
      <c r="B19" s="41" t="str">
        <f>Listas!C7</f>
        <v>Negação</v>
      </c>
      <c r="C19" s="42">
        <f>COUNTIF(Diário!$H$5:$H$204,$B19)</f>
        <v>0</v>
      </c>
      <c r="D19" s="52">
        <f>SUMIFS(Diário!$K$5:$K$204,Diário!$H$5:$H$204,$B19)</f>
        <v>0</v>
      </c>
    </row>
    <row r="20" spans="2:5" x14ac:dyDescent="0.25">
      <c r="B20" s="43" t="str">
        <f>Listas!C8</f>
        <v>Rompimento sem teste</v>
      </c>
      <c r="C20" s="46">
        <f>COUNTIF(Diário!$H$5:$H$204,$B20)</f>
        <v>0</v>
      </c>
      <c r="D20" s="44">
        <f>SUMIFS(Diário!$K$5:$K$204,Diário!$H$5:$H$204,$B20)</f>
        <v>0</v>
      </c>
    </row>
    <row r="22" spans="2:5" x14ac:dyDescent="0.25">
      <c r="B22" s="39" t="s">
        <v>97</v>
      </c>
      <c r="C22" s="47" t="s">
        <v>95</v>
      </c>
      <c r="D22" s="47" t="s">
        <v>96</v>
      </c>
      <c r="E22" s="40"/>
    </row>
    <row r="23" spans="2:5" x14ac:dyDescent="0.25">
      <c r="B23" s="41" t="str">
        <f>Listas!D5</f>
        <v>Alvo final</v>
      </c>
      <c r="C23" s="42">
        <f>COUNTIF(Diário!$J$5:$J$204,$B23)</f>
        <v>1</v>
      </c>
      <c r="D23" s="52">
        <f>SUMIFS(Diário!$K$5:$K$204,Diário!$J$5:$J$204,$B23)</f>
        <v>500</v>
      </c>
    </row>
    <row r="24" spans="2:5" x14ac:dyDescent="0.25">
      <c r="B24" s="43" t="str">
        <f>Listas!D6</f>
        <v>Stop</v>
      </c>
      <c r="C24" s="46">
        <f>COUNTIF(Diário!$J$5:$J$204,$B24)</f>
        <v>0</v>
      </c>
      <c r="D24" s="44">
        <f>SUMIFS(Diário!$K$5:$K$204,Diário!$J$5:$J$204,$B24)</f>
        <v>0</v>
      </c>
    </row>
    <row r="25" spans="2:5" x14ac:dyDescent="0.25">
      <c r="B25" s="41" t="str">
        <f>Listas!D7</f>
        <v>Primeiro alvo (tendência contra)</v>
      </c>
      <c r="C25" s="42">
        <f>COUNTIF(Diário!$J$5:$J$204,$B25)</f>
        <v>0</v>
      </c>
      <c r="D25" s="52">
        <f>SUMIFS(Diário!$K$5:$K$204,Diário!$J$5:$J$204,$B25)</f>
        <v>0</v>
      </c>
    </row>
    <row r="26" spans="2:5" x14ac:dyDescent="0.25">
      <c r="B26" s="43" t="str">
        <f>Listas!D8</f>
        <v>Saída manual</v>
      </c>
      <c r="C26" s="46">
        <f>COUNTIF(Diário!$J$5:$J$204,$B26)</f>
        <v>0</v>
      </c>
      <c r="D26" s="44">
        <f>SUMIFS(Diário!$K$5:$K$204,Diário!$J$5:$J$204,$B26)</f>
        <v>0</v>
      </c>
    </row>
    <row r="28" spans="2:5" x14ac:dyDescent="0.25">
      <c r="B28" s="39" t="s">
        <v>98</v>
      </c>
      <c r="C28" s="47" t="s">
        <v>99</v>
      </c>
      <c r="D28" s="47" t="s">
        <v>100</v>
      </c>
      <c r="E28" s="47" t="s">
        <v>101</v>
      </c>
    </row>
    <row r="29" spans="2:5" x14ac:dyDescent="0.25">
      <c r="B29" s="41" t="str">
        <f>Listas!B5</f>
        <v>Calmo</v>
      </c>
      <c r="C29" s="42">
        <f>COUNTIF(Diário!$L$5:$L$204,$B29)</f>
        <v>0</v>
      </c>
      <c r="D29" s="42">
        <f>COUNTIF(Diário!$M$5:$M$204,$B29)</f>
        <v>1</v>
      </c>
      <c r="E29" s="45" t="str">
        <f>IFERROR(AVERAGEIFS(Diário!$K$5:$K$204,Diário!$L$5:$L$204,$B29),"-")</f>
        <v>-</v>
      </c>
    </row>
    <row r="30" spans="2:5" x14ac:dyDescent="0.25">
      <c r="B30" s="43" t="str">
        <f>Listas!B6</f>
        <v>Confiante</v>
      </c>
      <c r="C30" s="46">
        <f>COUNTIF(Diário!$L$5:$L$204,$B30)</f>
        <v>1</v>
      </c>
      <c r="D30" s="46">
        <f>COUNTIF(Diário!$M$5:$M$204,$B30)</f>
        <v>0</v>
      </c>
      <c r="E30" s="49">
        <f>IFERROR(AVERAGEIFS(Diário!$K$5:$K$204,Diário!$L$5:$L$204,$B30),"-")</f>
        <v>500</v>
      </c>
    </row>
    <row r="31" spans="2:5" x14ac:dyDescent="0.25">
      <c r="B31" s="41" t="str">
        <f>Listas!B7</f>
        <v>Focado</v>
      </c>
      <c r="C31" s="42">
        <f>COUNTIF(Diário!$L$5:$L$204,$B31)</f>
        <v>0</v>
      </c>
      <c r="D31" s="42">
        <f>COUNTIF(Diário!$M$5:$M$204,$B31)</f>
        <v>0</v>
      </c>
      <c r="E31" s="45" t="str">
        <f>IFERROR(AVERAGEIFS(Diário!$K$5:$K$204,Diário!$L$5:$L$204,$B31),"-")</f>
        <v>-</v>
      </c>
    </row>
    <row r="32" spans="2:5" x14ac:dyDescent="0.25">
      <c r="B32" s="43" t="str">
        <f>Listas!B8</f>
        <v>Ansioso</v>
      </c>
      <c r="C32" s="46">
        <f>COUNTIF(Diário!$L$5:$L$204,$B32)</f>
        <v>0</v>
      </c>
      <c r="D32" s="46">
        <f>COUNTIF(Diário!$M$5:$M$204,$B32)</f>
        <v>0</v>
      </c>
      <c r="E32" s="49" t="str">
        <f>IFERROR(AVERAGEIFS(Diário!$K$5:$K$204,Diário!$L$5:$L$204,$B32),"-")</f>
        <v>-</v>
      </c>
    </row>
    <row r="33" spans="2:5" x14ac:dyDescent="0.25">
      <c r="B33" s="41" t="str">
        <f>Listas!B9</f>
        <v>Impaciente</v>
      </c>
      <c r="C33" s="42">
        <f>COUNTIF(Diário!$L$5:$L$204,$B33)</f>
        <v>0</v>
      </c>
      <c r="D33" s="42">
        <f>COUNTIF(Diário!$M$5:$M$204,$B33)</f>
        <v>0</v>
      </c>
      <c r="E33" s="45" t="str">
        <f>IFERROR(AVERAGEIFS(Diário!$K$5:$K$204,Diário!$L$5:$L$204,$B33),"-")</f>
        <v>-</v>
      </c>
    </row>
    <row r="34" spans="2:5" x14ac:dyDescent="0.25">
      <c r="B34" s="43" t="str">
        <f>Listas!B10</f>
        <v>Com medo</v>
      </c>
      <c r="C34" s="46">
        <f>COUNTIF(Diário!$L$5:$L$204,$B34)</f>
        <v>0</v>
      </c>
      <c r="D34" s="46">
        <f>COUNTIF(Diário!$M$5:$M$204,$B34)</f>
        <v>0</v>
      </c>
      <c r="E34" s="49" t="str">
        <f>IFERROR(AVERAGEIFS(Diário!$K$5:$K$204,Diário!$L$5:$L$204,$B34),"-")</f>
        <v>-</v>
      </c>
    </row>
    <row r="35" spans="2:5" x14ac:dyDescent="0.25">
      <c r="B35" s="41" t="str">
        <f>Listas!B11</f>
        <v>Ganancioso</v>
      </c>
      <c r="C35" s="42">
        <f>COUNTIF(Diário!$L$5:$L$204,$B35)</f>
        <v>0</v>
      </c>
      <c r="D35" s="42">
        <f>COUNTIF(Diário!$M$5:$M$204,$B35)</f>
        <v>0</v>
      </c>
      <c r="E35" s="45" t="str">
        <f>IFERROR(AVERAGEIFS(Diário!$K$5:$K$204,Diário!$L$5:$L$204,$B35),"-")</f>
        <v>-</v>
      </c>
    </row>
    <row r="36" spans="2:5" x14ac:dyDescent="0.25">
      <c r="B36" s="43" t="str">
        <f>Listas!B12</f>
        <v>Eufórico</v>
      </c>
      <c r="C36" s="46">
        <f>COUNTIF(Diário!$L$5:$L$204,$B36)</f>
        <v>0</v>
      </c>
      <c r="D36" s="46">
        <f>COUNTIF(Diário!$M$5:$M$204,$B36)</f>
        <v>0</v>
      </c>
      <c r="E36" s="49" t="str">
        <f>IFERROR(AVERAGEIFS(Diário!$K$5:$K$204,Diário!$L$5:$L$204,$B36),"-")</f>
        <v>-</v>
      </c>
    </row>
    <row r="37" spans="2:5" x14ac:dyDescent="0.25">
      <c r="B37" s="41" t="str">
        <f>Listas!B13</f>
        <v>Frustrado</v>
      </c>
      <c r="C37" s="42">
        <f>COUNTIF(Diário!$L$5:$L$204,$B37)</f>
        <v>0</v>
      </c>
      <c r="D37" s="42">
        <f>COUNTIF(Diário!$M$5:$M$204,$B37)</f>
        <v>0</v>
      </c>
      <c r="E37" s="45" t="str">
        <f>IFERROR(AVERAGEIFS(Diário!$K$5:$K$204,Diário!$L$5:$L$204,$B37),"-")</f>
        <v>-</v>
      </c>
    </row>
    <row r="38" spans="2:5" x14ac:dyDescent="0.25">
      <c r="B38" s="43" t="str">
        <f>Listas!B14</f>
        <v>Irritado</v>
      </c>
      <c r="C38" s="46">
        <f>COUNTIF(Diário!$L$5:$L$204,$B38)</f>
        <v>0</v>
      </c>
      <c r="D38" s="46">
        <f>COUNTIF(Diário!$M$5:$M$204,$B38)</f>
        <v>0</v>
      </c>
      <c r="E38" s="49" t="str">
        <f>IFERROR(AVERAGEIFS(Diário!$K$5:$K$204,Diário!$L$5:$L$204,$B38),"-")</f>
        <v>-</v>
      </c>
    </row>
    <row r="39" spans="2:5" x14ac:dyDescent="0.25">
      <c r="B39" s="41" t="str">
        <f>Listas!B15</f>
        <v>Indiferente</v>
      </c>
      <c r="C39" s="42">
        <f>COUNTIF(Diário!$L$5:$L$204,$B39)</f>
        <v>0</v>
      </c>
      <c r="D39" s="42">
        <f>COUNTIF(Diário!$M$5:$M$204,$B39)</f>
        <v>0</v>
      </c>
      <c r="E39" s="45" t="str">
        <f>IFERROR(AVERAGEIFS(Diário!$K$5:$K$204,Diário!$L$5:$L$204,$B39),"-")</f>
        <v>-</v>
      </c>
    </row>
    <row r="40" spans="2:5" x14ac:dyDescent="0.25">
      <c r="B40" s="43" t="str">
        <f>Listas!B16</f>
        <v>Outra</v>
      </c>
      <c r="C40" s="46">
        <f>COUNTIF(Diário!$L$5:$L$204,$B40)</f>
        <v>0</v>
      </c>
      <c r="D40" s="46">
        <f>COUNTIF(Diário!$M$5:$M$204,$B40)</f>
        <v>0</v>
      </c>
      <c r="E40" s="49" t="str">
        <f>IFERROR(AVERAGEIFS(Diário!$K$5:$K$204,Diário!$L$5:$L$204,$B40),"-")</f>
        <v>-</v>
      </c>
    </row>
  </sheetData>
  <pageMargins left="0.75" right="0.75" top="1" bottom="1" header="0.511811023622047" footer="0.5"/>
  <pageSetup paperSize="9" fitToHeight="0" orientation="portrait" horizontalDpi="300" verticalDpi="300"/>
  <headerFooter>
    <oddFooter>&amp;C&amp;7 Diário de Execução 40P · Material educacional. Não é recomendação de compra ou venda de ativos nem promessa de resultado; operar no mercado financeiro envolve risco de perda.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A9893"/>
    <pageSetUpPr fitToPage="1"/>
  </sheetPr>
  <dimension ref="B1:D16"/>
  <sheetViews>
    <sheetView showGridLines="0" zoomScaleNormal="100" workbookViewId="0"/>
  </sheetViews>
  <sheetFormatPr defaultColWidth="8.7109375" defaultRowHeight="15" x14ac:dyDescent="0.25"/>
  <cols>
    <col min="1" max="1" width="1.42578125" customWidth="1"/>
    <col min="2" max="4" width="34" customWidth="1"/>
  </cols>
  <sheetData>
    <row r="1" spans="2:4" ht="23.25" x14ac:dyDescent="0.35">
      <c r="B1" s="53" t="s">
        <v>102</v>
      </c>
    </row>
    <row r="2" spans="2:4" x14ac:dyDescent="0.25">
      <c r="B2" s="54" t="s">
        <v>103</v>
      </c>
    </row>
    <row r="4" spans="2:4" ht="24" customHeight="1" x14ac:dyDescent="0.25">
      <c r="B4" s="55" t="s">
        <v>98</v>
      </c>
      <c r="C4" s="55" t="s">
        <v>104</v>
      </c>
      <c r="D4" s="55" t="s">
        <v>105</v>
      </c>
    </row>
    <row r="5" spans="2:4" x14ac:dyDescent="0.25">
      <c r="B5" s="41" t="s">
        <v>57</v>
      </c>
      <c r="C5" s="41" t="s">
        <v>45</v>
      </c>
      <c r="D5" s="41" t="s">
        <v>50</v>
      </c>
    </row>
    <row r="6" spans="2:4" x14ac:dyDescent="0.25">
      <c r="B6" s="43" t="s">
        <v>55</v>
      </c>
      <c r="C6" s="43" t="s">
        <v>106</v>
      </c>
      <c r="D6" s="43" t="s">
        <v>107</v>
      </c>
    </row>
    <row r="7" spans="2:4" x14ac:dyDescent="0.25">
      <c r="B7" s="41" t="s">
        <v>108</v>
      </c>
      <c r="C7" s="41" t="s">
        <v>109</v>
      </c>
      <c r="D7" s="41" t="s">
        <v>110</v>
      </c>
    </row>
    <row r="8" spans="2:4" x14ac:dyDescent="0.25">
      <c r="B8" s="43" t="s">
        <v>111</v>
      </c>
      <c r="C8" s="43" t="s">
        <v>112</v>
      </c>
      <c r="D8" s="43" t="s">
        <v>113</v>
      </c>
    </row>
    <row r="9" spans="2:4" x14ac:dyDescent="0.25">
      <c r="B9" s="41" t="s">
        <v>114</v>
      </c>
    </row>
    <row r="10" spans="2:4" x14ac:dyDescent="0.25">
      <c r="B10" s="43" t="s">
        <v>115</v>
      </c>
    </row>
    <row r="11" spans="2:4" x14ac:dyDescent="0.25">
      <c r="B11" s="41" t="s">
        <v>116</v>
      </c>
    </row>
    <row r="12" spans="2:4" x14ac:dyDescent="0.25">
      <c r="B12" s="43" t="s">
        <v>117</v>
      </c>
    </row>
    <row r="13" spans="2:4" x14ac:dyDescent="0.25">
      <c r="B13" s="41" t="s">
        <v>118</v>
      </c>
    </row>
    <row r="14" spans="2:4" x14ac:dyDescent="0.25">
      <c r="B14" s="43" t="s">
        <v>119</v>
      </c>
    </row>
    <row r="15" spans="2:4" x14ac:dyDescent="0.25">
      <c r="B15" s="41" t="s">
        <v>120</v>
      </c>
    </row>
    <row r="16" spans="2:4" x14ac:dyDescent="0.25">
      <c r="B16" s="43" t="s">
        <v>121</v>
      </c>
    </row>
  </sheetData>
  <pageMargins left="0.75" right="0.75" top="1" bottom="1" header="0.511811023622047" footer="0.5"/>
  <pageSetup paperSize="9" fitToHeight="0" orientation="portrait" horizontalDpi="300" verticalDpi="300"/>
  <headerFooter>
    <oddFooter>&amp;C&amp;7 Diário de Execução 40P · Material educacional. Não é recomendação de compra ou venda de ativos nem promessa de resultado; operar no mercado financeiro envolve risco de perda.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Início</vt:lpstr>
      <vt:lpstr>Diário</vt:lpstr>
      <vt:lpstr>Painel</vt:lpstr>
      <vt:lpstr>Tabelas</vt:lpstr>
      <vt:lpstr>Listas</vt:lpstr>
      <vt:lpstr>Diário!Area_de_impressao</vt:lpstr>
      <vt:lpstr>Início!Area_de_impressao</vt:lpstr>
      <vt:lpstr>Painel!Area_de_impressao</vt:lpstr>
      <vt:lpstr>Diário!Titulos_de_impressao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victor silvestre</cp:lastModifiedBy>
  <cp:revision>1</cp:revision>
  <dcterms:created xsi:type="dcterms:W3CDTF">2026-10-16T14:08:10Z</dcterms:created>
  <dcterms:modified xsi:type="dcterms:W3CDTF">2026-10-16T18:12:03Z</dcterms:modified>
  <dc:language>en-US</dc:language>
</cp:coreProperties>
</file>